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sh\Downloads\"/>
    </mc:Choice>
  </mc:AlternateContent>
  <xr:revisionPtr revIDLastSave="0" documentId="13_ncr:1_{729D686F-5E00-4C74-9749-204070A7836F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Repository_Index" sheetId="2" r:id="rId1"/>
    <sheet name="Figure_Map" sheetId="3" r:id="rId2"/>
    <sheet name="Code_Environment" sheetId="21" r:id="rId3"/>
    <sheet name="Fig1_Phases" sheetId="5" r:id="rId4"/>
    <sheet name="Fig2a_Models" sheetId="6" r:id="rId5"/>
    <sheet name="Fig2b_Regions" sheetId="7" r:id="rId6"/>
    <sheet name="Fig3a_Compute" sheetId="8" r:id="rId7"/>
    <sheet name="Fig3b_Visits" sheetId="9" r:id="rId8"/>
    <sheet name="Fig4a_Scenarios" sheetId="10" r:id="rId9"/>
    <sheet name="Fig4b_Phases" sheetId="11" r:id="rId10"/>
    <sheet name="Fig4c_Shares" sheetId="12" r:id="rId11"/>
    <sheet name="Fig5_Sensitivity" sheetId="13" r:id="rId12"/>
    <sheet name="Fig5b_Mitigation" sheetId="14" r:id="rId13"/>
    <sheet name="Fig5c_Exacerbation" sheetId="15" r:id="rId14"/>
    <sheet name="Pareto" sheetId="16" r:id="rId15"/>
    <sheet name="LLM_294" sheetId="17" r:id="rId16"/>
    <sheet name="Curve_Fit" sheetId="18" r:id="rId17"/>
    <sheet name="Out_of_Sample" sheetId="19" r:id="rId18"/>
    <sheet name="Norm_Sensitivity" sheetId="20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0" l="1"/>
  <c r="I31" i="10"/>
  <c r="H31" i="10"/>
  <c r="G31" i="10"/>
  <c r="F31" i="10"/>
  <c r="E31" i="10"/>
  <c r="D31" i="10"/>
  <c r="C31" i="10"/>
  <c r="B31" i="10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</calcChain>
</file>

<file path=xl/sharedStrings.xml><?xml version="1.0" encoding="utf-8"?>
<sst xmlns="http://schemas.openxmlformats.org/spreadsheetml/2006/main" count="1724" uniqueCount="664">
  <si>
    <t>Complete repository inventory</t>
  </si>
  <si>
    <t>File sizes are uncompressed.</t>
  </si>
  <si>
    <t>Archive</t>
  </si>
  <si>
    <t>Relative path</t>
  </si>
  <si>
    <t>Related figure/table</t>
  </si>
  <si>
    <t>Role</t>
  </si>
  <si>
    <t>I/O status</t>
  </si>
  <si>
    <t>Figure and table reproduction map</t>
  </si>
  <si>
    <t>Run scripts from the code/ directory because relative paths are used.</t>
  </si>
  <si>
    <t>Target</t>
  </si>
  <si>
    <t>Purpose</t>
  </si>
  <si>
    <t>Code / editable source</t>
  </si>
  <si>
    <t>Input data</t>
  </si>
  <si>
    <t>Code environment and execution guidance</t>
  </si>
  <si>
    <t>Install the listed dependencies and run scripts from code/.</t>
  </si>
  <si>
    <t>Component</t>
  </si>
  <si>
    <t>Requirement / command</t>
  </si>
  <si>
    <t>Python</t>
  </si>
  <si>
    <t>Python 3.10+ recommended</t>
  </si>
  <si>
    <t>Python packages</t>
  </si>
  <si>
    <t>numpy, pandas, matplotlib, openpyxl</t>
  </si>
  <si>
    <t>Core numerical, plotting, and Excel I/O</t>
  </si>
  <si>
    <t>Additional Python package</t>
  </si>
  <si>
    <t>prophet</t>
  </si>
  <si>
    <t>Required by Fig3b.py</t>
  </si>
  <si>
    <t>pycirclize</t>
  </si>
  <si>
    <t>MATLAB</t>
  </si>
  <si>
    <t>MATLAB R2021a+ recommended</t>
  </si>
  <si>
    <t>Run .m scripts using readtable, datetime, tiledlayout, yyaxis, and exportgraphics</t>
  </si>
  <si>
    <t>Office software</t>
  </si>
  <si>
    <t>Microsoft Excel</t>
  </si>
  <si>
    <t>Diagram software</t>
  </si>
  <si>
    <t>Microsoft Visio / PowerPoint</t>
  </si>
  <si>
    <t>Install command</t>
  </si>
  <si>
    <t>pip install numpy pandas matplotlib openpyxl prophet pycirclize</t>
  </si>
  <si>
    <t>Suggested Python environment</t>
  </si>
  <si>
    <t>Working directory</t>
  </si>
  <si>
    <t>Run scripts from code/</t>
  </si>
  <si>
    <t>Scripts use relative input/output paths</t>
  </si>
  <si>
    <t>Main Fig. 1 — phase-level life-cycle emissions</t>
  </si>
  <si>
    <t>Source: source data/Source Data Fig.1.xlsx. Shares are calculated in this workbook.</t>
  </si>
  <si>
    <t>Phase</t>
  </si>
  <si>
    <t>GPT-series emissions (t CO₂-eq)</t>
  </si>
  <si>
    <t>294-LLM emissions (t CO₂-eq)</t>
  </si>
  <si>
    <t>GPT share</t>
  </si>
  <si>
    <t>294-LLM share</t>
  </si>
  <si>
    <t>LLM R&amp;D</t>
  </si>
  <si>
    <t>Hardware manufacturing</t>
  </si>
  <si>
    <t>Commercial logistics</t>
  </si>
  <si>
    <t>Training and fine-tuning</t>
  </si>
  <si>
    <t>Online chatbot services</t>
  </si>
  <si>
    <t>Idle consumption</t>
  </si>
  <si>
    <t>EOL</t>
  </si>
  <si>
    <t>Main Fig. 2a — model release dates, compute, and producer region</t>
  </si>
  <si>
    <t>Source: source data/Source Data Fig.2a.xlsx.</t>
  </si>
  <si>
    <t>Model</t>
  </si>
  <si>
    <t>Release date</t>
  </si>
  <si>
    <t>Training compute (FLOPs)</t>
  </si>
  <si>
    <t>Continent</t>
  </si>
  <si>
    <t>Wu Dao 2.0</t>
  </si>
  <si>
    <t>Asia</t>
  </si>
  <si>
    <t>Jurassic-1-Jumbo</t>
  </si>
  <si>
    <t>HyperCLOVA 82B</t>
  </si>
  <si>
    <t>HyperCLOVA 204B</t>
  </si>
  <si>
    <t>Yuan 1.0</t>
  </si>
  <si>
    <t>EXAONE 1.0</t>
  </si>
  <si>
    <t>ERNIE 3.0 Titan</t>
  </si>
  <si>
    <t>GLM-130B</t>
  </si>
  <si>
    <t>Falcon-40B</t>
  </si>
  <si>
    <t>PanGu-危</t>
  </si>
  <si>
    <t>SenseChat</t>
  </si>
  <si>
    <t>xTrimoPGLM -100B</t>
  </si>
  <si>
    <t>InternLM</t>
  </si>
  <si>
    <t>Baichuan2-53B</t>
  </si>
  <si>
    <t>VARCO LLM 2.0 base</t>
  </si>
  <si>
    <t>Luca 2.0</t>
  </si>
  <si>
    <t>TigerBot-70B</t>
  </si>
  <si>
    <t>Falcon-180B</t>
  </si>
  <si>
    <t>Baichuan2-13B</t>
  </si>
  <si>
    <t>Hunyuan</t>
  </si>
  <si>
    <t>Baichuan 2-7B</t>
  </si>
  <si>
    <t>Qwen-7B</t>
  </si>
  <si>
    <t>Qwen-14B</t>
  </si>
  <si>
    <t>PLaMo-13B</t>
  </si>
  <si>
    <t>CodeFuse-13B</t>
  </si>
  <si>
    <t>Jiutian</t>
  </si>
  <si>
    <t>Skywork-13B</t>
  </si>
  <si>
    <t>Mi:dm 200B</t>
  </si>
  <si>
    <t>BlueLM 7B</t>
  </si>
  <si>
    <t>Nanbeige-16B</t>
  </si>
  <si>
    <t>Yi-34B</t>
  </si>
  <si>
    <t>Yi 6B</t>
  </si>
  <si>
    <t>BlueLM 70B</t>
  </si>
  <si>
    <t>BlueLM 175B</t>
  </si>
  <si>
    <t>BlueLM 130B</t>
  </si>
  <si>
    <t>Yuan 2.0</t>
  </si>
  <si>
    <t>Qwen-72B</t>
  </si>
  <si>
    <t>XVERSE-65B-2</t>
  </si>
  <si>
    <t>Konan LLM 41B</t>
  </si>
  <si>
    <t>YaYi 2.0</t>
  </si>
  <si>
    <t>DeepSeek LLM 67B</t>
  </si>
  <si>
    <t>InternLM2-20B</t>
  </si>
  <si>
    <t>DeepSeek Coder 33B</t>
  </si>
  <si>
    <t>Qwen1.5-7B</t>
  </si>
  <si>
    <t>Qwen1.5-72B</t>
  </si>
  <si>
    <t>Qwen1.5-14B</t>
  </si>
  <si>
    <t>MegaScale (Production)</t>
  </si>
  <si>
    <t>MegaScale (530B)</t>
  </si>
  <si>
    <t>MegaScale (175B)</t>
  </si>
  <si>
    <t>Aramco Metabrain AI</t>
  </si>
  <si>
    <t>DeepSeek-V2 (MoE-236B)</t>
  </si>
  <si>
    <t>Falcon 2 11B</t>
  </si>
  <si>
    <t>Yi-Large</t>
  </si>
  <si>
    <t>Yi-1.5-9B</t>
  </si>
  <si>
    <t>Yi-1.5-34B</t>
  </si>
  <si>
    <t>ALLaM 34B</t>
  </si>
  <si>
    <t>360Zhinao-7B</t>
  </si>
  <si>
    <t>Nanbeige2-16B-Chat</t>
  </si>
  <si>
    <t>Qwen2-7B</t>
  </si>
  <si>
    <t>Qwen2-72B</t>
  </si>
  <si>
    <t>Qwen2-57B-A14B</t>
  </si>
  <si>
    <t>PLaMo-100B</t>
  </si>
  <si>
    <t>JIUTIAN-139MoE</t>
  </si>
  <si>
    <t>Jais-70B</t>
  </si>
  <si>
    <t>EXAONE 3.0</t>
  </si>
  <si>
    <t>Falcon Mamba</t>
  </si>
  <si>
    <t>DeepSeek-V2.5</t>
  </si>
  <si>
    <t>Qwen2.5-32B</t>
  </si>
  <si>
    <t>Qwen2-VL-72B</t>
  </si>
  <si>
    <t>Qwen2.5-Coder (7B)</t>
  </si>
  <si>
    <t>Qwen2.5-7B</t>
  </si>
  <si>
    <t>Qwen2.5-72B</t>
  </si>
  <si>
    <t>Qwen2.5-3B</t>
  </si>
  <si>
    <t>Qwen2.5-14B</t>
  </si>
  <si>
    <t>Qwen2.5-1.5B</t>
  </si>
  <si>
    <t>Telechat2-115B</t>
  </si>
  <si>
    <t>Yi-Lightning</t>
  </si>
  <si>
    <t>Doubao-pro</t>
  </si>
  <si>
    <t>Hunyuan-Large</t>
  </si>
  <si>
    <t>Qwen2.5-Coder (32B)</t>
  </si>
  <si>
    <t>Hunyuan Video</t>
  </si>
  <si>
    <t>EXAONE 3.5 7.8B</t>
  </si>
  <si>
    <t>EXAONE 3.5 32B</t>
  </si>
  <si>
    <t>Falcon3-7B</t>
  </si>
  <si>
    <t>DeepSeek-V3</t>
  </si>
  <si>
    <t>MiniMax-VL-01</t>
  </si>
  <si>
    <t>MiniMax-Text-01</t>
  </si>
  <si>
    <t>DeepSeek-R1</t>
  </si>
  <si>
    <t>Step-1</t>
  </si>
  <si>
    <t>Qwen2.5-VL-7B</t>
  </si>
  <si>
    <t>Qwen2.5-VL-72B</t>
  </si>
  <si>
    <t>Step-Video-T2V</t>
  </si>
  <si>
    <t>Wan 2.1 14B I2V</t>
  </si>
  <si>
    <t>Ling-Plus ("Bailing")</t>
  </si>
  <si>
    <t>Ling-lite-1.5 ("Bailing")</t>
  </si>
  <si>
    <t>Hunyuan-TurboS</t>
  </si>
  <si>
    <t>DeepSeek-V3 (Mar 2025)</t>
  </si>
  <si>
    <t>Pangu Ultra</t>
  </si>
  <si>
    <t>Seaweed-7B</t>
  </si>
  <si>
    <t>GLM-Z1-Rumination-32B-0414</t>
  </si>
  <si>
    <t>GLM-4-9B-0414</t>
  </si>
  <si>
    <t>GLM-4-32B-0414</t>
  </si>
  <si>
    <t>Qwen3-8B</t>
  </si>
  <si>
    <t>Qwen3-4B</t>
  </si>
  <si>
    <t>Qwen3-32B</t>
  </si>
  <si>
    <t>Qwen3-30B-A3B</t>
  </si>
  <si>
    <t>Qwen3-235B-A22B</t>
  </si>
  <si>
    <t>Qwen3-14B</t>
  </si>
  <si>
    <t>Qwen3-1.7B</t>
  </si>
  <si>
    <t>Qwen3-0.6B</t>
  </si>
  <si>
    <t>Pangu Ultra MoE</t>
  </si>
  <si>
    <t>Seed1.5-VL</t>
  </si>
  <si>
    <t>Falcon-H1</t>
  </si>
  <si>
    <t>Pangu Pro MoE</t>
  </si>
  <si>
    <t>DeepSeek-R1 (May 2025)</t>
  </si>
  <si>
    <t>MiMo-VL-7B-SFT</t>
  </si>
  <si>
    <t>MiMo-7B-Base</t>
  </si>
  <si>
    <t>MiniMax-M1-80k</t>
  </si>
  <si>
    <t>MiniMax-M1-40k</t>
  </si>
  <si>
    <t>ERNIE-4.5-300B-A47B</t>
  </si>
  <si>
    <t>ERNIE-4.5-21B-A3B</t>
  </si>
  <si>
    <t>dots.llm1</t>
  </si>
  <si>
    <t>Kimi K2</t>
  </si>
  <si>
    <t>EXAONE 4.0 (32B)</t>
  </si>
  <si>
    <t>Qwen3-Coder-480B-A35B</t>
  </si>
  <si>
    <t>Qwen3-235B-A22B-Thinking (Jul 2025)</t>
  </si>
  <si>
    <t>Qwen3-235B-A22B (Jul 2025)</t>
  </si>
  <si>
    <t>Wan 2.2 14B T2V</t>
  </si>
  <si>
    <t>Tri-21B</t>
  </si>
  <si>
    <t>GLM-4.5-Air</t>
  </si>
  <si>
    <t>GLM-4.5</t>
  </si>
  <si>
    <t>GLM-4.5V</t>
  </si>
  <si>
    <t>GLM-4.1V-Thinking</t>
  </si>
  <si>
    <t>Seed-OSS-36B-Base</t>
  </si>
  <si>
    <t>DeepSeek-V3.1</t>
  </si>
  <si>
    <t>LongCat-Flash</t>
  </si>
  <si>
    <t>Qwen3-Max</t>
  </si>
  <si>
    <t>Qwen3-Next-80B-A3B</t>
  </si>
  <si>
    <t>Ling-mini-base-2.0-20T</t>
  </si>
  <si>
    <t>Ling-flash-base-2.0-20T</t>
  </si>
  <si>
    <t>DeepSeek-V3.1-Terminus</t>
  </si>
  <si>
    <t>DeepSeek-V3.2-Exp</t>
  </si>
  <si>
    <t>GLM-4.6</t>
  </si>
  <si>
    <t>Ling-1T</t>
  </si>
  <si>
    <t>Kimi Linear</t>
  </si>
  <si>
    <t>Emu3.5</t>
  </si>
  <si>
    <t>K-EXAONE</t>
  </si>
  <si>
    <t>AlphaStar</t>
  </si>
  <si>
    <t>Europe</t>
  </si>
  <si>
    <t>Gopher (280B)</t>
  </si>
  <si>
    <t>AlphaCode</t>
  </si>
  <si>
    <t>Chinchilla</t>
  </si>
  <si>
    <t>YaLM</t>
  </si>
  <si>
    <t>Luminous-supreme</t>
  </si>
  <si>
    <t>Luminous-extended</t>
  </si>
  <si>
    <t>LightOn Mini</t>
  </si>
  <si>
    <t>ruGPT-3.5 13B</t>
  </si>
  <si>
    <t>Mixtral 8x7B</t>
  </si>
  <si>
    <t>Poro 34B</t>
  </si>
  <si>
    <t>Mistral Large</t>
  </si>
  <si>
    <t>Viking</t>
  </si>
  <si>
    <t>Stable LM 2 12B</t>
  </si>
  <si>
    <t>Mixtral 8x22B</t>
  </si>
  <si>
    <t>Mistral Large 2</t>
  </si>
  <si>
    <t>Pharia-1-LLM-7B</t>
  </si>
  <si>
    <t>YandexGPT 5 Lite</t>
  </si>
  <si>
    <t>MamayLM</t>
  </si>
  <si>
    <t>Teuken 7B</t>
  </si>
  <si>
    <t>Apertus 70B</t>
  </si>
  <si>
    <t>Lapa LLM</t>
  </si>
  <si>
    <t>Meena</t>
  </si>
  <si>
    <t>North America</t>
  </si>
  <si>
    <t>GPT-3 175B (davinci)</t>
  </si>
  <si>
    <t>Megatron-Turing NLG 530B</t>
  </si>
  <si>
    <t>GLaM</t>
  </si>
  <si>
    <t>LaMDA</t>
  </si>
  <si>
    <t>ST-MoE</t>
  </si>
  <si>
    <t>GPT-3.5 (davinci-002)</t>
  </si>
  <si>
    <t>PaLM (540B)</t>
  </si>
  <si>
    <t>DALL路E 2</t>
  </si>
  <si>
    <t>OPT-175B</t>
  </si>
  <si>
    <t>OPT-13B</t>
  </si>
  <si>
    <t>UL2</t>
  </si>
  <si>
    <t>BIG-G 137B</t>
  </si>
  <si>
    <t>OPT-66B</t>
  </si>
  <si>
    <t>Parti</t>
  </si>
  <si>
    <t>Minerva (540B)</t>
  </si>
  <si>
    <t>BLOOM-176B</t>
  </si>
  <si>
    <t>AlexaTM 20B</t>
  </si>
  <si>
    <t>PaLI</t>
  </si>
  <si>
    <t>Galactica</t>
  </si>
  <si>
    <t>Whisper v2</t>
  </si>
  <si>
    <t>ViT-22B</t>
  </si>
  <si>
    <t>LLaMA-65B</t>
  </si>
  <si>
    <t>LLaMA-33B</t>
  </si>
  <si>
    <t>GPT-4 (Mar 2023)</t>
  </si>
  <si>
    <t>BloombergGPT</t>
  </si>
  <si>
    <t>PaLM 2</t>
  </si>
  <si>
    <t>MPT-30B</t>
  </si>
  <si>
    <t>Inflection-1</t>
  </si>
  <si>
    <t>Claude 2</t>
  </si>
  <si>
    <t>Llama 2-70B</t>
  </si>
  <si>
    <t>Llama 2-34B</t>
  </si>
  <si>
    <t>Llama 2-13B</t>
  </si>
  <si>
    <t>Code Llama-34B</t>
  </si>
  <si>
    <t>Amazon Titan</t>
  </si>
  <si>
    <t>Grok-1</t>
  </si>
  <si>
    <t>Whisper v3</t>
  </si>
  <si>
    <t>Jais-30b (phase 1)</t>
  </si>
  <si>
    <t>Nemotron-3-8B</t>
  </si>
  <si>
    <t>Inflection-2</t>
  </si>
  <si>
    <t>Granite 13B</t>
  </si>
  <si>
    <t>Gemini 1.0 Ultra</t>
  </si>
  <si>
    <t>Code Llama-70B</t>
  </si>
  <si>
    <t>OLMo-7B</t>
  </si>
  <si>
    <t>Gemma 7B</t>
  </si>
  <si>
    <t>Gemma 1.1 7B Instruct</t>
  </si>
  <si>
    <t>Nemotron-4 15B</t>
  </si>
  <si>
    <t>StarCoder 2 7B</t>
  </si>
  <si>
    <t>StarCoder 2 15B</t>
  </si>
  <si>
    <t>Inflection-2.5</t>
  </si>
  <si>
    <t>MM1-30B</t>
  </si>
  <si>
    <t>DBRX</t>
  </si>
  <si>
    <t>Grok-1.5</t>
  </si>
  <si>
    <t>Reka Flash</t>
  </si>
  <si>
    <t>Reka Core</t>
  </si>
  <si>
    <t>Reka Edge</t>
  </si>
  <si>
    <t>Llama 3-8B</t>
  </si>
  <si>
    <t>Llama 3-70B</t>
  </si>
  <si>
    <t>phi-3-small 7.4B</t>
  </si>
  <si>
    <t>phi-3-medium 14B</t>
  </si>
  <si>
    <t>Phi-3.5-MoE</t>
  </si>
  <si>
    <t>Arctic</t>
  </si>
  <si>
    <t>Multi-Token Prediction 7B</t>
  </si>
  <si>
    <t>Multi-Token Prediction 13B</t>
  </si>
  <si>
    <t>FragLlama: Next-fragment prediction for molecular design</t>
  </si>
  <si>
    <t>Chameleon-34B</t>
  </si>
  <si>
    <t>Granite 20B</t>
  </si>
  <si>
    <t>Mamba2-Hybrid</t>
  </si>
  <si>
    <t>Nemotron-4 340B</t>
  </si>
  <si>
    <t>Claude 3.5 Sonnet</t>
  </si>
  <si>
    <t>Gemma 2 9B</t>
  </si>
  <si>
    <t>Gemma 2 27B</t>
  </si>
  <si>
    <t>ESM3 (98B)</t>
  </si>
  <si>
    <t>MAP-Neo</t>
  </si>
  <si>
    <t>DCLM 7B</t>
  </si>
  <si>
    <t>Llama 3.1-8B</t>
  </si>
  <si>
    <t>Llama 3.1-70B</t>
  </si>
  <si>
    <t>Llama 3.1-405B</t>
  </si>
  <si>
    <t>AFM-server</t>
  </si>
  <si>
    <t>AFM-on-device</t>
  </si>
  <si>
    <t>Grok-2</t>
  </si>
  <si>
    <t>Llama 3.2 3B</t>
  </si>
  <si>
    <t>Llama 3.2 11B</t>
  </si>
  <si>
    <t>Movie Gen Video</t>
  </si>
  <si>
    <t>Movie Gen Audio</t>
  </si>
  <si>
    <t>Aria</t>
  </si>
  <si>
    <t>Granite 3.0 8B</t>
  </si>
  <si>
    <t>Granite 3.0 2B</t>
  </si>
  <si>
    <t>Amazon Nova Pro</t>
  </si>
  <si>
    <t>Llama 3.3 70B</t>
  </si>
  <si>
    <t>Phi-4</t>
  </si>
  <si>
    <t>Granite 3.1 8B</t>
  </si>
  <si>
    <t>Granite 3.1 2B</t>
  </si>
  <si>
    <t>OLMo 2 Furious 7B</t>
  </si>
  <si>
    <t>OLMo 2 Furious 13B</t>
  </si>
  <si>
    <t>Cosmos-Predict1-7b-Video2World</t>
  </si>
  <si>
    <t>Cosmos-Predict1-14b-Video2World</t>
  </si>
  <si>
    <t>Cosmos-1.0- Diffusion-14B Video2World</t>
  </si>
  <si>
    <t>Grok 3</t>
  </si>
  <si>
    <t>Evo 2 7B</t>
  </si>
  <si>
    <t>Evo 2 40B</t>
  </si>
  <si>
    <t>Claude 3.7 Sonnet</t>
  </si>
  <si>
    <t>GPT-4.5</t>
  </si>
  <si>
    <t>OLMo 2 32B</t>
  </si>
  <si>
    <t>Llama Nemotron Ultra 253B</t>
  </si>
  <si>
    <t>Cosmos-Transfer1-7B</t>
  </si>
  <si>
    <t>Llama 4 Scout</t>
  </si>
  <si>
    <t>Llama 4 Maverick</t>
  </si>
  <si>
    <t>Llama 4 Behemoth (preview)</t>
  </si>
  <si>
    <t>Nemotron-H 8B</t>
  </si>
  <si>
    <t>Nemotron-H 56B</t>
  </si>
  <si>
    <t>Foundation-sec-8b</t>
  </si>
  <si>
    <t>Marin 8B</t>
  </si>
  <si>
    <t>Gemma 3n</t>
  </si>
  <si>
    <t>Grok 4</t>
  </si>
  <si>
    <t>gpt-oss-20b</t>
  </si>
  <si>
    <t>gpt-oss-120b</t>
  </si>
  <si>
    <t>GPT-5</t>
  </si>
  <si>
    <t>NVIDIA-Nemotron-Nano-9B-v2</t>
  </si>
  <si>
    <t>NVIDIA-Nemotron-Nano-12B-v2</t>
  </si>
  <si>
    <t>Granite-4.0-H-Tiny</t>
  </si>
  <si>
    <t>Granite-4.0-H-Small</t>
  </si>
  <si>
    <t>Granite-4.0-H-Micro</t>
  </si>
  <si>
    <t>Odyssey 102B</t>
  </si>
  <si>
    <t>Olmo 3</t>
  </si>
  <si>
    <t>Main Fig. 2b — producer-attributed regional emission shares</t>
  </si>
  <si>
    <t>Numeric values are unchanged. Phase labels are re-aligned to the seven-stage order in Fig2b.m because the supplied source workbook's first-column labels are offset by one row.</t>
  </si>
  <si>
    <t>Main Fig. 3a — monthly and cumulative computing-power demand</t>
  </si>
  <si>
    <t>Source: source data/Source Data Fig.3a.xlsx. Monthly values are in 1e26 FLOPs; cumulative columns are calculated here.</t>
  </si>
  <si>
    <t>Date</t>
  </si>
  <si>
    <t>Low monthly demand (1e26 FLOPs)</t>
  </si>
  <si>
    <t>Moderate monthly demand (1e26 FLOPs)</t>
  </si>
  <si>
    <t>High monthly demand (1e26 FLOPs)</t>
  </si>
  <si>
    <t>Low cumulative demand (1e26 FLOPs)</t>
  </si>
  <si>
    <t>Moderate cumulative demand (1e26 FLOPs)</t>
  </si>
  <si>
    <t>High cumulative demand (1e26 FLOPs)</t>
  </si>
  <si>
    <t>Main Fig. 3b — monthly online-visit trajectories</t>
  </si>
  <si>
    <t>Source: source data/Source Data Fig.3b.xlsx. Units are billion visits per month.</t>
  </si>
  <si>
    <t>Low monthly visits (billion)</t>
  </si>
  <si>
    <t>Moderate monthly visits (billion)</t>
  </si>
  <si>
    <t>High monthly visits (billion)</t>
  </si>
  <si>
    <t>Source: source data/Source Data Fig.4a.xlsx. Units are Mt CO₂-eq per year.</t>
  </si>
  <si>
    <t>year</t>
  </si>
  <si>
    <t>Scenario 1 (Mt CO₂-eq)</t>
  </si>
  <si>
    <t>Scenario 2 (Mt CO₂-eq)</t>
  </si>
  <si>
    <t>Scenario 3 (Mt CO₂-eq)</t>
  </si>
  <si>
    <t>Scenario 4 (Mt CO₂-eq)</t>
  </si>
  <si>
    <t>Scenario5 (Mt CO₂-eq)</t>
  </si>
  <si>
    <t>Scenario 6 (Mt CO₂-eq)</t>
  </si>
  <si>
    <t>Scenario 7 (Mt CO₂-eq)</t>
  </si>
  <si>
    <t>Scenario 8 (Mt CO₂-eq)</t>
  </si>
  <si>
    <t>Scenario 9 (Mt CO₂-eq)</t>
  </si>
  <si>
    <t>Cumulative 2026–2050</t>
  </si>
  <si>
    <t>Main Fig. 4b — annual emissions by life-cycle phase</t>
  </si>
  <si>
    <t>Source: source data/Source Data Fig.4b_4c.xlsx, sheet Fig4b. Units are t CO₂-eq.</t>
  </si>
  <si>
    <t>LLM R&amp;D (t CO₂-eq)</t>
  </si>
  <si>
    <t>Hardware manufacturing  (t CO₂-eq)</t>
  </si>
  <si>
    <t>Commercial logistics  (t CO₂-eq)</t>
  </si>
  <si>
    <t>Training and fine-tuning  (t CO₂-eq)</t>
  </si>
  <si>
    <t>Online chatbot services  (t CO₂-eq)</t>
  </si>
  <si>
    <t>Idle consumption  (t CO₂-eq)</t>
  </si>
  <si>
    <t>EOL  (t CO₂-eq)</t>
  </si>
  <si>
    <t>Total (t CO₂-eq)</t>
  </si>
  <si>
    <t>Main Fig. 4c — annual phase shares</t>
  </si>
  <si>
    <t>Source: source data/Source Data Fig.4b_4c.xlsx, sheet Fig4c.</t>
  </si>
  <si>
    <t>LLM R&amp;D (%)</t>
  </si>
  <si>
    <t>Hardware manufacturing  (%)</t>
  </si>
  <si>
    <t>Commercial logistics  (%)</t>
  </si>
  <si>
    <t>Training and fine-tuning (%)</t>
  </si>
  <si>
    <t>Online chatbot services  (%)</t>
  </si>
  <si>
    <t>Idle consumption  (%)</t>
  </si>
  <si>
    <t>EOL   (%)</t>
  </si>
  <si>
    <t>Source: source data/Source Data Fig.5a.xlsx. Negative values are mitigation-side effects; positive values are exacerbation-side effects.</t>
  </si>
  <si>
    <t>Parameter</t>
  </si>
  <si>
    <t>Assigned value</t>
  </si>
  <si>
    <t>Relative emission effect</t>
  </si>
  <si>
    <t>Interpretation</t>
  </si>
  <si>
    <t>Elevation rate of visit volume (%)</t>
  </si>
  <si>
    <t>Mitigation-side scenario</t>
  </si>
  <si>
    <t>Exacerbation-side scenario</t>
  </si>
  <si>
    <t>Tipping point (year)</t>
  </si>
  <si>
    <t>EF ( kg CO₂-eq/kWh)</t>
  </si>
  <si>
    <t>MFU (%)</t>
  </si>
  <si>
    <t>Model training runs</t>
  </si>
  <si>
    <t>Power per inference (Wh)</t>
  </si>
  <si>
    <t>Inferences per visit</t>
  </si>
  <si>
    <t>Share of EOL (%)</t>
  </si>
  <si>
    <t>Idle consumption ratio(%)</t>
  </si>
  <si>
    <t>Server lifespan (year)</t>
  </si>
  <si>
    <t>R&amp;D cycle (year)</t>
  </si>
  <si>
    <t>PUE</t>
  </si>
  <si>
    <t>Parameter、Phase</t>
  </si>
  <si>
    <t>P I</t>
  </si>
  <si>
    <t>P II</t>
  </si>
  <si>
    <t>P III</t>
  </si>
  <si>
    <t>P IV</t>
  </si>
  <si>
    <t>P V</t>
  </si>
  <si>
    <t>P VI</t>
  </si>
  <si>
    <t>P VII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</si>
  <si>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</si>
  <si>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</si>
  <si>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</si>
  <si>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</si>
  <si>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</si>
  <si>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</si>
  <si>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</si>
  <si>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</si>
  <si>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</si>
  <si>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 10</t>
  </si>
  <si>
    <t>P 11</t>
  </si>
  <si>
    <t>P 12</t>
  </si>
  <si>
    <t>Training compute covers 294 LLMs; website visits cover the 100 most popular AI websites in December 2025.</t>
  </si>
  <si>
    <t>Rank</t>
  </si>
  <si>
    <t>Cumulative compute share</t>
  </si>
  <si>
    <t>Website rank</t>
  </si>
  <si>
    <t>Visits (million)</t>
  </si>
  <si>
    <t>Cumulative visit share</t>
  </si>
  <si>
    <t>Core dataset — 294 LLMs with publicly documented training compute</t>
  </si>
  <si>
    <t>Source: source data/Source Data for 294 LLMs.xlsx. Model-name line breaks are normalized for readability.</t>
  </si>
  <si>
    <t>Publication date</t>
  </si>
  <si>
    <t>Parameters</t>
  </si>
  <si>
    <t>Country/Region</t>
  </si>
  <si>
    <t>Compute share</t>
  </si>
  <si>
    <t>United States of America</t>
  </si>
  <si>
    <t>China</t>
  </si>
  <si>
    <t>France</t>
  </si>
  <si>
    <t>Saudi Arabia</t>
  </si>
  <si>
    <t>Switzerland</t>
  </si>
  <si>
    <t>United Arab Emirates</t>
  </si>
  <si>
    <t>Cosmos-1.0-Diffusion-14B Video2World</t>
  </si>
  <si>
    <t>Korea (Republic of)</t>
  </si>
  <si>
    <t>United States of America,France</t>
  </si>
  <si>
    <t>Japan</t>
  </si>
  <si>
    <t>Ukraine,Poland</t>
  </si>
  <si>
    <t>Russia</t>
  </si>
  <si>
    <t>United Kingdom of Great Britain and Northern Ireland</t>
  </si>
  <si>
    <t>Germany</t>
  </si>
  <si>
    <t>Bulgaria,Switzerland</t>
  </si>
  <si>
    <t>Israel</t>
  </si>
  <si>
    <t>Finland</t>
  </si>
  <si>
    <t>Multinational,Finland</t>
  </si>
  <si>
    <t>Canada,China</t>
  </si>
  <si>
    <t>United States of America,United Arab Emirates</t>
  </si>
  <si>
    <t>Supplementary Fig. 3 — cumulative computing-demand series for curve fitting</t>
  </si>
  <si>
    <t>Source: code/SupplementaryFig3.xlsx.</t>
  </si>
  <si>
    <t>Month number</t>
  </si>
  <si>
    <t>Cumulative computing-power demand (1e26 FLOPs)</t>
  </si>
  <si>
    <t>Holdout period: July–December 2025. Lower MSE indicates better performance.</t>
  </si>
  <si>
    <t>No.</t>
  </si>
  <si>
    <t>Observed cumulative demand (1e+26 FLOPs)</t>
  </si>
  <si>
    <t>Linear</t>
  </si>
  <si>
    <t>Exponential</t>
  </si>
  <si>
    <t>Quadratic</t>
  </si>
  <si>
    <t>Cubic</t>
  </si>
  <si>
    <t>Quartic</t>
  </si>
  <si>
    <t>Power</t>
  </si>
  <si>
    <t>Logarithmic</t>
  </si>
  <si>
    <t>MSE</t>
  </si>
  <si>
    <t>Table 1 — normalized mitigation and exacerbation sensitivity</t>
  </si>
  <si>
    <t>Source: code/Table 1.xlsx. Headers are standardized for readability; numeric values are unchanged.</t>
  </si>
  <si>
    <t>Mitigation effect</t>
  </si>
  <si>
    <t>Moderate value</t>
  </si>
  <si>
    <t>Low value</t>
  </si>
  <si>
    <t>Improvement (%)</t>
  </si>
  <si>
    <t>Normalized mitigation sensitivity</t>
  </si>
  <si>
    <t>Exacerbation effect</t>
  </si>
  <si>
    <t>Moderate value (high-side)</t>
  </si>
  <si>
    <t>High value</t>
  </si>
  <si>
    <t>Degradation (%)</t>
  </si>
  <si>
    <t>Normalized exacerbation sensitivity</t>
  </si>
  <si>
    <t>Tipping point</t>
  </si>
  <si>
    <t>EF</t>
  </si>
  <si>
    <t>MFU</t>
  </si>
  <si>
    <t>Idle consumption ratio</t>
  </si>
  <si>
    <t>Power per inference</t>
  </si>
  <si>
    <t>Elevation rate of visit volume</t>
  </si>
  <si>
    <t>R&amp;D cycle</t>
  </si>
  <si>
    <t>Server lifespan</t>
  </si>
  <si>
    <t>Share of EOL</t>
  </si>
  <si>
    <t>code.rar</t>
  </si>
  <si>
    <t>code/Fig1.m</t>
  </si>
  <si>
    <t>Main Fig. 1</t>
  </si>
  <si>
    <t>MATLAB script; radial area chart of seven life-cycle phases; data embedded</t>
  </si>
  <si>
    <t>figure.png</t>
  </si>
  <si>
    <t>code/Fig2a.m</t>
  </si>
  <si>
    <t>Main Fig. 2a</t>
  </si>
  <si>
    <t>MATLAB script; release date vs. computing demand ellipses</t>
  </si>
  <si>
    <t>display only</t>
  </si>
  <si>
    <t>code/Fig2a.xlsx</t>
  </si>
  <si>
    <t>Input workbook for Fig2a.m</t>
  </si>
  <si>
    <t>input</t>
  </si>
  <si>
    <t>code/Fig2b.m</t>
  </si>
  <si>
    <t>Main Fig. 2b</t>
  </si>
  <si>
    <t>MATLAB script; regional absolute and percentage stacked bars; data embedded</t>
  </si>
  <si>
    <t>code/Fig3a.py</t>
  </si>
  <si>
    <t>Main Fig. 3a</t>
  </si>
  <si>
    <t>Python script; cubic trend + AR(1), tipping points, 30 seeded trials</t>
  </si>
  <si>
    <t>Fig3a.svg and diagnostic files</t>
  </si>
  <si>
    <t>code/Fig3b.py</t>
  </si>
  <si>
    <t>Main Fig. 3b</t>
  </si>
  <si>
    <t>Python script; Prophet decomposition, staged growth, 30 seeded trials</t>
  </si>
  <si>
    <t>Fig3b.svg</t>
  </si>
  <si>
    <t>code/Fig4a.py</t>
  </si>
  <si>
    <t>Main Fig. 4a</t>
  </si>
  <si>
    <t>Python script; cumulative scenario trajectories</t>
  </si>
  <si>
    <t>Fig4a.svg</t>
  </si>
  <si>
    <t>code/Fig4a.xlsx</t>
  </si>
  <si>
    <t>Main Fig. 4a / Supplementary Fig. 4</t>
  </si>
  <si>
    <t>Input workbook with annual emissions for nine scenarios</t>
  </si>
  <si>
    <t>code/Fig4b_4c.m</t>
  </si>
  <si>
    <t>Main Fig. 4b–c</t>
  </si>
  <si>
    <t>MATLAB script; annual phase emissions and shares; data embedded</t>
  </si>
  <si>
    <t>code/Fig5a.m</t>
  </si>
  <si>
    <t>Main Fig. 5a</t>
  </si>
  <si>
    <t>MATLAB script; one-at-a-time sensitivity bars; data embedded</t>
  </si>
  <si>
    <t>code/Fig5b.py</t>
  </si>
  <si>
    <t>Main Fig. 5b</t>
  </si>
  <si>
    <t>Python script; mitigation-side chord diagram</t>
  </si>
  <si>
    <t>Fig5b.svg</t>
  </si>
  <si>
    <t>code/Fig5b.xlsx</t>
  </si>
  <si>
    <t>Input matrix for Fig5b.py</t>
  </si>
  <si>
    <t>code/Fig5c.py</t>
  </si>
  <si>
    <t>Main Fig. 5c</t>
  </si>
  <si>
    <t>Python script; exacerbation-side chord diagram</t>
  </si>
  <si>
    <t>Fig5c.svg</t>
  </si>
  <si>
    <t>code/Fig5c.xlsx</t>
  </si>
  <si>
    <t>Input matrix for Fig5c.py</t>
  </si>
  <si>
    <t>code/SupplementaryFig1.vsdx</t>
  </si>
  <si>
    <t>Supplementary Fig. 1</t>
  </si>
  <si>
    <t>Editable Visio source for system boundary diagram</t>
  </si>
  <si>
    <t>editable figure source</t>
  </si>
  <si>
    <t>code/SupplementaryFig2a.m</t>
  </si>
  <si>
    <t>Supplementary Fig. 2a</t>
  </si>
  <si>
    <t>MATLAB script; Pareto curve for computing demand</t>
  </si>
  <si>
    <t>code/SupplementaryFig2a.xlsx</t>
  </si>
  <si>
    <t>Input computing-demand vector</t>
  </si>
  <si>
    <t>code/SupplementaryFig2b.m</t>
  </si>
  <si>
    <t>Supplementary Fig. 2b</t>
  </si>
  <si>
    <t>MATLAB script; Pareto curve for website visits</t>
  </si>
  <si>
    <t>code/SupplementaryFig2b.xlsx</t>
  </si>
  <si>
    <t>Input website-visit vector</t>
  </si>
  <si>
    <t>code/SupplementaryFig3.xlsx</t>
  </si>
  <si>
    <t>Supplementary Fig. 3</t>
  </si>
  <si>
    <t>Curve-fitting data and editable chart workbook</t>
  </si>
  <si>
    <t>editable analysis source</t>
  </si>
  <si>
    <t>code/SupplementaryFig4.py</t>
  </si>
  <si>
    <t>Supplementary Fig. 4</t>
  </si>
  <si>
    <t>Python script; annual emissions for nine scenarios</t>
  </si>
  <si>
    <t>FigS4.svg</t>
  </si>
  <si>
    <t>code/SupplementaryFig5.pptx</t>
  </si>
  <si>
    <t>Supplementary Fig. 5</t>
  </si>
  <si>
    <t>Editable PowerPoint source for management-cycle diagram</t>
  </si>
  <si>
    <t>code/SupplementaryTable5.xlsx</t>
  </si>
  <si>
    <t>Supplementary Table 5</t>
  </si>
  <si>
    <t>Out-of-sample projections and MSE calculations</t>
  </si>
  <si>
    <t>code/Table 1.xlsx</t>
  </si>
  <si>
    <t>Table 1</t>
  </si>
  <si>
    <t>Normalized mitigation and exacerbation sensitivity calculations</t>
  </si>
  <si>
    <t>source data.rar</t>
  </si>
  <si>
    <t>source data/Source Data Fig.1.xlsx</t>
  </si>
  <si>
    <t>Phase-level emissions for GPT-series models and the 294-LLM sample</t>
  </si>
  <si>
    <t>source data</t>
  </si>
  <si>
    <t>source data/Source Data Fig.2a.xlsx</t>
  </si>
  <si>
    <t>Model, release date, training compute, and continent</t>
  </si>
  <si>
    <t>source data/Source Data Fig.2b.xlsx</t>
  </si>
  <si>
    <t>Producer-attributed regional phase shares</t>
  </si>
  <si>
    <t>source data/Source Data Fig.3a.xlsx</t>
  </si>
  <si>
    <t>Historical and projected monthly computing-power demand</t>
  </si>
  <si>
    <t>source data/Source Data Fig.3b.xlsx</t>
  </si>
  <si>
    <t>Historical and projected monthly online visits</t>
  </si>
  <si>
    <t>source data/Source Data Fig.4a.xlsx</t>
  </si>
  <si>
    <t>Annual emissions under nine scenarios</t>
  </si>
  <si>
    <t>source data/Source Data Fig.4b_4c.xlsx</t>
  </si>
  <si>
    <t>Annual phase emissions and phase shares under Scenario 5</t>
  </si>
  <si>
    <t>source data/Source Data Fig.5a.xlsx</t>
  </si>
  <si>
    <t>One-at-a-time parameter assignments and relative effects</t>
  </si>
  <si>
    <t>source data/Source Data Fig.5b.xlsx</t>
  </si>
  <si>
    <t>Mitigation-side parameter–phase matrix</t>
  </si>
  <si>
    <t>source data/Source Data Fig.5c.xlsx</t>
  </si>
  <si>
    <t>Exacerbation-side parameter–phase matrix</t>
  </si>
  <si>
    <t>source data/Source Data for 294 LLMs.xlsx</t>
  </si>
  <si>
    <t>Core dataset</t>
  </si>
  <si>
    <t>294-LLM dataset: publication date, parameters, training compute, and country/region</t>
  </si>
  <si>
    <t>source data/Source Data Supplementary Fig.4.xlsx</t>
  </si>
  <si>
    <t>source data/Source Data SupplementaryFig.2a.xlsx</t>
  </si>
  <si>
    <t>Training-compute distribution for 294 LLMs</t>
  </si>
  <si>
    <t>source data/Source Data SupplementaryFig.2b.xlsx</t>
  </si>
  <si>
    <t>December 2025 visit distribution for 100 AI websites</t>
  </si>
  <si>
    <t>Seven-phase phase-emission comparison</t>
  </si>
  <si>
    <t>Embedded arrays; source data/Source Data Fig.1.xlsx</t>
  </si>
  <si>
    <t>Release dates and computing-power demand by producer region</t>
  </si>
  <si>
    <t>code/Fig2a.xlsx; source data/Source Data Fig.2a.xlsx</t>
  </si>
  <si>
    <t>Embedded absolute emissions; source data/Source Data Fig.2b.xlsx</t>
  </si>
  <si>
    <t>Computing-power demand projections</t>
  </si>
  <si>
    <t>Embedded historical series; source data/Source Data Fig.3a.xlsx</t>
  </si>
  <si>
    <t>Online-visit projections</t>
  </si>
  <si>
    <t>Embedded 38-month series; source data/Source Data Fig.3b.xlsx</t>
  </si>
  <si>
    <t>Cumulative emissions across nine scenarios</t>
  </si>
  <si>
    <t>code/Fig4a.xlsx; source data/Source Data Fig.4a.xlsx</t>
  </si>
  <si>
    <t>Annual phase emissions and shares</t>
  </si>
  <si>
    <t>Embedded matrix; source data/Source Data Fig.4b_4c.xlsx</t>
  </si>
  <si>
    <t>One-at-a-time sensitivity effects</t>
  </si>
  <si>
    <t>Embedded effects; source data/Source Data Fig.5a.xlsx</t>
  </si>
  <si>
    <t>Mitigation-side parameter–phase chord diagram</t>
  </si>
  <si>
    <t>code/Fig5b.xlsx; source data/Source Data Fig.5b.xlsx</t>
  </si>
  <si>
    <t>Exacerbation-side parameter–phase chord diagram</t>
  </si>
  <si>
    <t>code/Fig5c.xlsx; source data/Source Data Fig.5c.xlsx</t>
  </si>
  <si>
    <t>System boundary and seven-phase framework</t>
  </si>
  <si>
    <t>Editable diagram</t>
  </si>
  <si>
    <t>Pareto distribution of computing demand</t>
  </si>
  <si>
    <t>code/SupplementaryFig2a.xlsx; source data/Source Data SupplementaryFig.2a.xlsx</t>
  </si>
  <si>
    <t>Pareto distribution of website visits</t>
  </si>
  <si>
    <t>code/SupplementaryFig2b.xlsx; source data/Source Data SupplementaryFig.2b.xlsx</t>
  </si>
  <si>
    <t>Curve-fitting comparison</t>
  </si>
  <si>
    <t>Data and charts are contained in the workbook</t>
  </si>
  <si>
    <t>code/Fig4a.xlsx; source data/Source Data Supplementary Fig.4.xlsx</t>
  </si>
  <si>
    <t>Innovating–Shifting–Disclosing–Rolling cycle</t>
  </si>
  <si>
    <t>Out-of-sample trend test</t>
  </si>
  <si>
    <t>Embedded workbook formulas</t>
  </si>
  <si>
    <t>Normalized sensitivity ranking</t>
  </si>
  <si>
    <t>Embedded workbook calculations</t>
  </si>
  <si>
    <t>Run Fig3a.py, Fig3b.py, Fig4a.py, Fig5b.py, Fig5c.py, SupplementaryFig4.py</t>
  </si>
  <si>
    <t>Required by Fig5b.py and Fig5c.py</t>
  </si>
  <si>
    <t>Review/edit SupplementaryFig3.xlsx, SupplementaryTable5.xlsx, and Table 1.xlsx</t>
  </si>
  <si>
    <t>Edit SupplementaryFig1.vsdx and SupplementaryFig5.pptx</t>
  </si>
  <si>
    <t>Main Fig. 4a / Supplementary Fig. 4 — annual emissions under nine scenarios</t>
  </si>
  <si>
    <t>Main Fig. 5a — one-at-a-time parameter effects</t>
  </si>
  <si>
    <t>Main Fig. 5b — mitigation-side parameter–phase matrix</t>
  </si>
  <si>
    <t>Source: source data/Source Data Fig.5b.xlsx. Values are t CO₂-eq per unit-percentage perturbation.</t>
  </si>
  <si>
    <t>Main Fig. 5c — exacerbation-side parameter–phase matrix</t>
  </si>
  <si>
    <t>Source: source data/Source Data Fig.5c.xlsx. Values are t CO₂-eq per unit-percentage perturbation.</t>
  </si>
  <si>
    <t>Supplementary Fig. 2 — Pareto data for computing demand and website visits</t>
  </si>
  <si>
    <t>Supplementary Table 5 — out-of-sample trend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</si>
</sst>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%"/>
    <numFmt numFmtId="178" formatCode="yyyy\-mm\-dd"/>
    <numFmt numFmtId="179" formatCode="0.000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7F6000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3" fillId="4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10" fontId="0" fillId="0" borderId="0" xfId="1" applyNumberFormat="1" applyFont="1" applyAlignment="1">
      <alignment vertical="top" wrapText="1"/>
    </xf>
    <xf numFmtId="11" fontId="0" fillId="0" borderId="0" xfId="1" applyNumberFormat="1" applyFont="1" applyAlignment="1">
      <alignment vertical="top" wrapText="1"/>
    </xf>
    <xf numFmtId="176" fontId="0" fillId="0" borderId="0" xfId="1" applyNumberFormat="1" applyFont="1" applyAlignment="1">
      <alignment vertical="top" wrapText="1"/>
    </xf>
    <xf numFmtId="177" fontId="0" fillId="0" borderId="0" xfId="1" applyNumberFormat="1" applyFont="1" applyAlignment="1">
      <alignment vertical="top" wrapText="1"/>
    </xf>
    <xf numFmtId="3" fontId="0" fillId="0" borderId="0" xfId="1" applyNumberFormat="1" applyFont="1" applyAlignment="1">
      <alignment vertical="top" wrapText="1"/>
    </xf>
    <xf numFmtId="178" fontId="0" fillId="0" borderId="0" xfId="1" applyNumberFormat="1" applyFont="1" applyAlignment="1">
      <alignment vertical="top" wrapText="1"/>
    </xf>
    <xf numFmtId="179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2" fontId="0" fillId="0" borderId="0" xfId="1" applyNumberFormat="1" applyFont="1"/>
    <xf numFmtId="0" fontId="0" fillId="0" borderId="0" xfId="1" applyFont="1" applyAlignment="1">
      <alignment horizontal="center"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F44" sqref="F44"/>
    </sheetView>
  </sheetViews>
  <sheetFormatPr defaultRowHeight="13.5"/>
  <cols>
    <col min="1" max="1" width="16" customWidth="1"/>
    <col min="2" max="2" width="41.75" customWidth="1"/>
    <col min="3" max="3" width="21.4375" customWidth="1"/>
    <col min="4" max="4" width="49.75" customWidth="1"/>
    <col min="5" max="5" width="20" customWidth="1"/>
  </cols>
  <sheetData>
    <row r="1" spans="1:5" ht="33.4" customHeight="1">
      <c r="A1" s="14" t="s">
        <v>0</v>
      </c>
      <c r="B1" s="14"/>
      <c r="C1" s="14"/>
      <c r="D1" s="14"/>
      <c r="E1" s="14"/>
    </row>
    <row r="2" spans="1:5" ht="33.4" customHeight="1">
      <c r="A2" s="15" t="s">
        <v>1</v>
      </c>
      <c r="B2" s="15"/>
      <c r="C2" s="15"/>
      <c r="D2" s="15"/>
      <c r="E2" s="15"/>
    </row>
    <row r="3" spans="1:5" ht="33.4" customHeight="1"/>
    <row r="4" spans="1:5" ht="33.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33.4" customHeight="1">
      <c r="A5" s="2" t="s">
        <v>510</v>
      </c>
      <c r="B5" s="2" t="s">
        <v>511</v>
      </c>
      <c r="C5" s="2" t="s">
        <v>512</v>
      </c>
      <c r="D5" s="2" t="s">
        <v>513</v>
      </c>
      <c r="E5" s="2" t="s">
        <v>514</v>
      </c>
    </row>
    <row r="6" spans="1:5" ht="33.4" customHeight="1">
      <c r="A6" s="2" t="s">
        <v>510</v>
      </c>
      <c r="B6" s="2" t="s">
        <v>515</v>
      </c>
      <c r="C6" s="2" t="s">
        <v>516</v>
      </c>
      <c r="D6" s="2" t="s">
        <v>517</v>
      </c>
      <c r="E6" s="2" t="s">
        <v>518</v>
      </c>
    </row>
    <row r="7" spans="1:5" ht="33.4" customHeight="1">
      <c r="A7" s="2" t="s">
        <v>510</v>
      </c>
      <c r="B7" s="2" t="s">
        <v>519</v>
      </c>
      <c r="C7" s="2" t="s">
        <v>516</v>
      </c>
      <c r="D7" s="2" t="s">
        <v>520</v>
      </c>
      <c r="E7" s="2" t="s">
        <v>521</v>
      </c>
    </row>
    <row r="8" spans="1:5" ht="33.4" customHeight="1">
      <c r="A8" s="2" t="s">
        <v>510</v>
      </c>
      <c r="B8" s="2" t="s">
        <v>522</v>
      </c>
      <c r="C8" s="2" t="s">
        <v>523</v>
      </c>
      <c r="D8" s="2" t="s">
        <v>524</v>
      </c>
      <c r="E8" s="2" t="s">
        <v>518</v>
      </c>
    </row>
    <row r="9" spans="1:5" ht="33.4" customHeight="1">
      <c r="A9" s="2" t="s">
        <v>510</v>
      </c>
      <c r="B9" s="2" t="s">
        <v>525</v>
      </c>
      <c r="C9" s="2" t="s">
        <v>526</v>
      </c>
      <c r="D9" s="2" t="s">
        <v>527</v>
      </c>
      <c r="E9" s="2" t="s">
        <v>528</v>
      </c>
    </row>
    <row r="10" spans="1:5" ht="33.4" customHeight="1">
      <c r="A10" s="2" t="s">
        <v>510</v>
      </c>
      <c r="B10" s="2" t="s">
        <v>529</v>
      </c>
      <c r="C10" s="2" t="s">
        <v>530</v>
      </c>
      <c r="D10" s="2" t="s">
        <v>531</v>
      </c>
      <c r="E10" s="2" t="s">
        <v>532</v>
      </c>
    </row>
    <row r="11" spans="1:5" ht="33.4" customHeight="1">
      <c r="A11" s="2" t="s">
        <v>510</v>
      </c>
      <c r="B11" s="2" t="s">
        <v>533</v>
      </c>
      <c r="C11" s="2" t="s">
        <v>534</v>
      </c>
      <c r="D11" s="2" t="s">
        <v>535</v>
      </c>
      <c r="E11" s="2" t="s">
        <v>536</v>
      </c>
    </row>
    <row r="12" spans="1:5" ht="33.4" customHeight="1">
      <c r="A12" s="2" t="s">
        <v>510</v>
      </c>
      <c r="B12" s="2" t="s">
        <v>537</v>
      </c>
      <c r="C12" s="2" t="s">
        <v>538</v>
      </c>
      <c r="D12" s="2" t="s">
        <v>539</v>
      </c>
      <c r="E12" s="2" t="s">
        <v>521</v>
      </c>
    </row>
    <row r="13" spans="1:5" ht="33.4" customHeight="1">
      <c r="A13" s="2" t="s">
        <v>510</v>
      </c>
      <c r="B13" s="2" t="s">
        <v>540</v>
      </c>
      <c r="C13" s="2" t="s">
        <v>541</v>
      </c>
      <c r="D13" s="2" t="s">
        <v>542</v>
      </c>
      <c r="E13" s="2" t="s">
        <v>518</v>
      </c>
    </row>
    <row r="14" spans="1:5" ht="33.4" customHeight="1">
      <c r="A14" s="2" t="s">
        <v>510</v>
      </c>
      <c r="B14" s="2" t="s">
        <v>543</v>
      </c>
      <c r="C14" s="2" t="s">
        <v>544</v>
      </c>
      <c r="D14" s="2" t="s">
        <v>545</v>
      </c>
      <c r="E14" s="2" t="s">
        <v>518</v>
      </c>
    </row>
    <row r="15" spans="1:5" ht="33.4" customHeight="1">
      <c r="A15" s="2" t="s">
        <v>510</v>
      </c>
      <c r="B15" s="2" t="s">
        <v>546</v>
      </c>
      <c r="C15" s="2" t="s">
        <v>547</v>
      </c>
      <c r="D15" s="2" t="s">
        <v>548</v>
      </c>
      <c r="E15" s="2" t="s">
        <v>549</v>
      </c>
    </row>
    <row r="16" spans="1:5" ht="33.4" customHeight="1">
      <c r="A16" s="2" t="s">
        <v>510</v>
      </c>
      <c r="B16" s="2" t="s">
        <v>550</v>
      </c>
      <c r="C16" s="2" t="s">
        <v>547</v>
      </c>
      <c r="D16" s="2" t="s">
        <v>551</v>
      </c>
      <c r="E16" s="2" t="s">
        <v>521</v>
      </c>
    </row>
    <row r="17" spans="1:5" ht="33.4" customHeight="1">
      <c r="A17" s="2" t="s">
        <v>510</v>
      </c>
      <c r="B17" s="2" t="s">
        <v>552</v>
      </c>
      <c r="C17" s="2" t="s">
        <v>553</v>
      </c>
      <c r="D17" s="2" t="s">
        <v>554</v>
      </c>
      <c r="E17" s="2" t="s">
        <v>555</v>
      </c>
    </row>
    <row r="18" spans="1:5" ht="33.4" customHeight="1">
      <c r="A18" s="2" t="s">
        <v>510</v>
      </c>
      <c r="B18" s="2" t="s">
        <v>556</v>
      </c>
      <c r="C18" s="2" t="s">
        <v>553</v>
      </c>
      <c r="D18" s="2" t="s">
        <v>557</v>
      </c>
      <c r="E18" s="2" t="s">
        <v>521</v>
      </c>
    </row>
    <row r="19" spans="1:5" ht="33.4" customHeight="1">
      <c r="A19" s="2" t="s">
        <v>510</v>
      </c>
      <c r="B19" s="2" t="s">
        <v>558</v>
      </c>
      <c r="C19" s="2" t="s">
        <v>559</v>
      </c>
      <c r="D19" s="2" t="s">
        <v>560</v>
      </c>
      <c r="E19" s="2" t="s">
        <v>561</v>
      </c>
    </row>
    <row r="20" spans="1:5" ht="33.4" customHeight="1">
      <c r="A20" s="2" t="s">
        <v>510</v>
      </c>
      <c r="B20" s="2" t="s">
        <v>562</v>
      </c>
      <c r="C20" s="2" t="s">
        <v>563</v>
      </c>
      <c r="D20" s="2" t="s">
        <v>564</v>
      </c>
      <c r="E20" s="2" t="s">
        <v>518</v>
      </c>
    </row>
    <row r="21" spans="1:5" ht="33.4" customHeight="1">
      <c r="A21" s="2" t="s">
        <v>510</v>
      </c>
      <c r="B21" s="2" t="s">
        <v>565</v>
      </c>
      <c r="C21" s="2" t="s">
        <v>563</v>
      </c>
      <c r="D21" s="2" t="s">
        <v>566</v>
      </c>
      <c r="E21" s="2" t="s">
        <v>521</v>
      </c>
    </row>
    <row r="22" spans="1:5" ht="33.4" customHeight="1">
      <c r="A22" s="2" t="s">
        <v>510</v>
      </c>
      <c r="B22" s="2" t="s">
        <v>567</v>
      </c>
      <c r="C22" s="2" t="s">
        <v>568</v>
      </c>
      <c r="D22" s="2" t="s">
        <v>569</v>
      </c>
      <c r="E22" s="2" t="s">
        <v>518</v>
      </c>
    </row>
    <row r="23" spans="1:5" ht="33.4" customHeight="1">
      <c r="A23" s="2" t="s">
        <v>510</v>
      </c>
      <c r="B23" s="2" t="s">
        <v>570</v>
      </c>
      <c r="C23" s="2" t="s">
        <v>568</v>
      </c>
      <c r="D23" s="2" t="s">
        <v>571</v>
      </c>
      <c r="E23" s="2" t="s">
        <v>521</v>
      </c>
    </row>
    <row r="24" spans="1:5" ht="33.4" customHeight="1">
      <c r="A24" s="2" t="s">
        <v>510</v>
      </c>
      <c r="B24" s="2" t="s">
        <v>572</v>
      </c>
      <c r="C24" s="2" t="s">
        <v>573</v>
      </c>
      <c r="D24" s="2" t="s">
        <v>574</v>
      </c>
      <c r="E24" s="2" t="s">
        <v>575</v>
      </c>
    </row>
    <row r="25" spans="1:5" ht="33.4" customHeight="1">
      <c r="A25" s="2" t="s">
        <v>510</v>
      </c>
      <c r="B25" s="2" t="s">
        <v>576</v>
      </c>
      <c r="C25" s="2" t="s">
        <v>577</v>
      </c>
      <c r="D25" s="2" t="s">
        <v>578</v>
      </c>
      <c r="E25" s="2" t="s">
        <v>579</v>
      </c>
    </row>
    <row r="26" spans="1:5" ht="33.4" customHeight="1">
      <c r="A26" s="2" t="s">
        <v>510</v>
      </c>
      <c r="B26" s="2" t="s">
        <v>580</v>
      </c>
      <c r="C26" s="2" t="s">
        <v>581</v>
      </c>
      <c r="D26" s="2" t="s">
        <v>582</v>
      </c>
      <c r="E26" s="2" t="s">
        <v>561</v>
      </c>
    </row>
    <row r="27" spans="1:5" ht="33.4" customHeight="1">
      <c r="A27" s="2" t="s">
        <v>510</v>
      </c>
      <c r="B27" s="2" t="s">
        <v>583</v>
      </c>
      <c r="C27" s="2" t="s">
        <v>584</v>
      </c>
      <c r="D27" s="2" t="s">
        <v>585</v>
      </c>
      <c r="E27" s="2" t="s">
        <v>575</v>
      </c>
    </row>
    <row r="28" spans="1:5" ht="33.4" customHeight="1">
      <c r="A28" s="2" t="s">
        <v>510</v>
      </c>
      <c r="B28" s="2" t="s">
        <v>586</v>
      </c>
      <c r="C28" s="2" t="s">
        <v>587</v>
      </c>
      <c r="D28" s="2" t="s">
        <v>588</v>
      </c>
      <c r="E28" s="2" t="s">
        <v>575</v>
      </c>
    </row>
    <row r="29" spans="1:5" ht="33.4" customHeight="1">
      <c r="A29" s="2" t="s">
        <v>589</v>
      </c>
      <c r="B29" s="2" t="s">
        <v>590</v>
      </c>
      <c r="C29" s="2" t="s">
        <v>512</v>
      </c>
      <c r="D29" s="2" t="s">
        <v>591</v>
      </c>
      <c r="E29" s="2" t="s">
        <v>592</v>
      </c>
    </row>
    <row r="30" spans="1:5" ht="33.4" customHeight="1">
      <c r="A30" s="2" t="s">
        <v>589</v>
      </c>
      <c r="B30" s="2" t="s">
        <v>593</v>
      </c>
      <c r="C30" s="2" t="s">
        <v>516</v>
      </c>
      <c r="D30" s="2" t="s">
        <v>594</v>
      </c>
      <c r="E30" s="2" t="s">
        <v>592</v>
      </c>
    </row>
    <row r="31" spans="1:5" ht="33.4" customHeight="1">
      <c r="A31" s="2" t="s">
        <v>589</v>
      </c>
      <c r="B31" s="2" t="s">
        <v>595</v>
      </c>
      <c r="C31" s="2" t="s">
        <v>523</v>
      </c>
      <c r="D31" s="2" t="s">
        <v>596</v>
      </c>
      <c r="E31" s="2" t="s">
        <v>592</v>
      </c>
    </row>
    <row r="32" spans="1:5" ht="33.4" customHeight="1">
      <c r="A32" s="2" t="s">
        <v>589</v>
      </c>
      <c r="B32" s="2" t="s">
        <v>597</v>
      </c>
      <c r="C32" s="2" t="s">
        <v>526</v>
      </c>
      <c r="D32" s="2" t="s">
        <v>598</v>
      </c>
      <c r="E32" s="2" t="s">
        <v>592</v>
      </c>
    </row>
    <row r="33" spans="1:5" ht="33.4" customHeight="1">
      <c r="A33" s="2" t="s">
        <v>589</v>
      </c>
      <c r="B33" s="2" t="s">
        <v>599</v>
      </c>
      <c r="C33" s="2" t="s">
        <v>530</v>
      </c>
      <c r="D33" s="2" t="s">
        <v>600</v>
      </c>
      <c r="E33" s="2" t="s">
        <v>592</v>
      </c>
    </row>
    <row r="34" spans="1:5" ht="33.4" customHeight="1">
      <c r="A34" s="2" t="s">
        <v>589</v>
      </c>
      <c r="B34" s="2" t="s">
        <v>601</v>
      </c>
      <c r="C34" s="2" t="s">
        <v>534</v>
      </c>
      <c r="D34" s="2" t="s">
        <v>602</v>
      </c>
      <c r="E34" s="2" t="s">
        <v>592</v>
      </c>
    </row>
    <row r="35" spans="1:5" ht="33.4" customHeight="1">
      <c r="A35" s="2" t="s">
        <v>589</v>
      </c>
      <c r="B35" s="2" t="s">
        <v>603</v>
      </c>
      <c r="C35" s="2" t="s">
        <v>541</v>
      </c>
      <c r="D35" s="2" t="s">
        <v>604</v>
      </c>
      <c r="E35" s="2" t="s">
        <v>592</v>
      </c>
    </row>
    <row r="36" spans="1:5" ht="33.4" customHeight="1">
      <c r="A36" s="2" t="s">
        <v>589</v>
      </c>
      <c r="B36" s="2" t="s">
        <v>605</v>
      </c>
      <c r="C36" s="2" t="s">
        <v>544</v>
      </c>
      <c r="D36" s="2" t="s">
        <v>606</v>
      </c>
      <c r="E36" s="2" t="s">
        <v>592</v>
      </c>
    </row>
    <row r="37" spans="1:5" ht="33.4" customHeight="1">
      <c r="A37" s="2" t="s">
        <v>589</v>
      </c>
      <c r="B37" s="2" t="s">
        <v>607</v>
      </c>
      <c r="C37" s="2" t="s">
        <v>547</v>
      </c>
      <c r="D37" s="2" t="s">
        <v>608</v>
      </c>
      <c r="E37" s="2" t="s">
        <v>592</v>
      </c>
    </row>
    <row r="38" spans="1:5" ht="33.4" customHeight="1">
      <c r="A38" s="2" t="s">
        <v>589</v>
      </c>
      <c r="B38" s="2" t="s">
        <v>609</v>
      </c>
      <c r="C38" s="2" t="s">
        <v>553</v>
      </c>
      <c r="D38" s="2" t="s">
        <v>610</v>
      </c>
      <c r="E38" s="2" t="s">
        <v>592</v>
      </c>
    </row>
    <row r="39" spans="1:5" ht="33.4" customHeight="1">
      <c r="A39" s="2" t="s">
        <v>589</v>
      </c>
      <c r="B39" s="2" t="s">
        <v>611</v>
      </c>
      <c r="C39" s="2" t="s">
        <v>612</v>
      </c>
      <c r="D39" s="2" t="s">
        <v>613</v>
      </c>
      <c r="E39" s="2" t="s">
        <v>592</v>
      </c>
    </row>
    <row r="40" spans="1:5" ht="33.4" customHeight="1">
      <c r="A40" s="2" t="s">
        <v>589</v>
      </c>
      <c r="B40" s="2" t="s">
        <v>614</v>
      </c>
      <c r="C40" s="2" t="s">
        <v>577</v>
      </c>
      <c r="D40" s="2" t="s">
        <v>602</v>
      </c>
      <c r="E40" s="2" t="s">
        <v>592</v>
      </c>
    </row>
    <row r="41" spans="1:5" ht="33.4" customHeight="1">
      <c r="A41" s="2" t="s">
        <v>589</v>
      </c>
      <c r="B41" s="2" t="s">
        <v>615</v>
      </c>
      <c r="C41" s="2" t="s">
        <v>563</v>
      </c>
      <c r="D41" s="2" t="s">
        <v>616</v>
      </c>
      <c r="E41" s="2" t="s">
        <v>592</v>
      </c>
    </row>
    <row r="42" spans="1:5" ht="33.4" customHeight="1">
      <c r="A42" s="2" t="s">
        <v>589</v>
      </c>
      <c r="B42" s="2" t="s">
        <v>617</v>
      </c>
      <c r="C42" s="2" t="s">
        <v>568</v>
      </c>
      <c r="D42" s="2" t="s">
        <v>618</v>
      </c>
      <c r="E42" s="2" t="s">
        <v>592</v>
      </c>
    </row>
    <row r="43" spans="1:5" ht="4.5" customHeight="1"/>
    <row r="44" spans="1:5" ht="4.5" customHeight="1"/>
    <row r="45" spans="1:5" ht="4.5" customHeight="1"/>
    <row r="46" spans="1:5" ht="4.5" customHeight="1"/>
    <row r="47" spans="1:5" ht="4.5" customHeight="1"/>
    <row r="48" spans="1:5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topLeftCell="A13" workbookViewId="0">
      <selection activeCell="C32" sqref="C32"/>
    </sheetView>
  </sheetViews>
  <sheetFormatPr defaultRowHeight="13.5"/>
  <cols>
    <col min="1" max="1" width="22" customWidth="1"/>
    <col min="2" max="3" width="34" customWidth="1"/>
    <col min="4" max="4" width="52" customWidth="1"/>
  </cols>
  <sheetData>
    <row r="1" spans="1:4" ht="35.75" customHeight="1">
      <c r="A1" s="14" t="s">
        <v>7</v>
      </c>
      <c r="B1" s="14"/>
      <c r="C1" s="14"/>
      <c r="D1" s="14"/>
    </row>
    <row r="2" spans="1:4" ht="35.75" customHeight="1">
      <c r="A2" s="15" t="s">
        <v>8</v>
      </c>
      <c r="B2" s="15"/>
      <c r="C2" s="15"/>
      <c r="D2" s="15"/>
    </row>
    <row r="3" spans="1:4" ht="35.75" customHeight="1"/>
    <row r="4" spans="1:4" ht="35.75" customHeight="1">
      <c r="A4" s="3" t="s">
        <v>9</v>
      </c>
      <c r="B4" s="3" t="s">
        <v>10</v>
      </c>
      <c r="C4" s="3" t="s">
        <v>11</v>
      </c>
      <c r="D4" s="3" t="s">
        <v>12</v>
      </c>
    </row>
    <row r="5" spans="1:4" ht="35.75" customHeight="1">
      <c r="A5" s="2" t="s">
        <v>512</v>
      </c>
      <c r="B5" s="2" t="s">
        <v>619</v>
      </c>
      <c r="C5" s="2" t="s">
        <v>511</v>
      </c>
      <c r="D5" s="2" t="s">
        <v>620</v>
      </c>
    </row>
    <row r="6" spans="1:4" ht="35.75" customHeight="1">
      <c r="A6" s="2" t="s">
        <v>516</v>
      </c>
      <c r="B6" s="2" t="s">
        <v>621</v>
      </c>
      <c r="C6" s="2" t="s">
        <v>515</v>
      </c>
      <c r="D6" s="2" t="s">
        <v>622</v>
      </c>
    </row>
    <row r="7" spans="1:4" ht="35.75" customHeight="1">
      <c r="A7" s="2" t="s">
        <v>523</v>
      </c>
      <c r="B7" s="2" t="s">
        <v>596</v>
      </c>
      <c r="C7" s="2" t="s">
        <v>522</v>
      </c>
      <c r="D7" s="2" t="s">
        <v>623</v>
      </c>
    </row>
    <row r="8" spans="1:4" ht="35.75" customHeight="1">
      <c r="A8" s="2" t="s">
        <v>526</v>
      </c>
      <c r="B8" s="2" t="s">
        <v>624</v>
      </c>
      <c r="C8" s="2" t="s">
        <v>525</v>
      </c>
      <c r="D8" s="2" t="s">
        <v>625</v>
      </c>
    </row>
    <row r="9" spans="1:4" ht="35.75" customHeight="1">
      <c r="A9" s="2" t="s">
        <v>530</v>
      </c>
      <c r="B9" s="2" t="s">
        <v>626</v>
      </c>
      <c r="C9" s="2" t="s">
        <v>529</v>
      </c>
      <c r="D9" s="2" t="s">
        <v>627</v>
      </c>
    </row>
    <row r="10" spans="1:4" ht="35.75" customHeight="1">
      <c r="A10" s="2" t="s">
        <v>534</v>
      </c>
      <c r="B10" s="2" t="s">
        <v>628</v>
      </c>
      <c r="C10" s="2" t="s">
        <v>533</v>
      </c>
      <c r="D10" s="2" t="s">
        <v>629</v>
      </c>
    </row>
    <row r="11" spans="1:4" ht="35.75" customHeight="1">
      <c r="A11" s="2" t="s">
        <v>541</v>
      </c>
      <c r="B11" s="2" t="s">
        <v>630</v>
      </c>
      <c r="C11" s="2" t="s">
        <v>540</v>
      </c>
      <c r="D11" s="2" t="s">
        <v>631</v>
      </c>
    </row>
    <row r="12" spans="1:4" ht="35.75" customHeight="1">
      <c r="A12" s="2" t="s">
        <v>544</v>
      </c>
      <c r="B12" s="2" t="s">
        <v>632</v>
      </c>
      <c r="C12" s="2" t="s">
        <v>543</v>
      </c>
      <c r="D12" s="2" t="s">
        <v>633</v>
      </c>
    </row>
    <row r="13" spans="1:4" ht="35.75" customHeight="1">
      <c r="A13" s="2" t="s">
        <v>547</v>
      </c>
      <c r="B13" s="2" t="s">
        <v>634</v>
      </c>
      <c r="C13" s="2" t="s">
        <v>546</v>
      </c>
      <c r="D13" s="2" t="s">
        <v>635</v>
      </c>
    </row>
    <row r="14" spans="1:4" ht="35.75" customHeight="1">
      <c r="A14" s="2" t="s">
        <v>553</v>
      </c>
      <c r="B14" s="2" t="s">
        <v>636</v>
      </c>
      <c r="C14" s="2" t="s">
        <v>552</v>
      </c>
      <c r="D14" s="2" t="s">
        <v>637</v>
      </c>
    </row>
    <row r="15" spans="1:4" ht="35.75" customHeight="1">
      <c r="A15" s="2" t="s">
        <v>559</v>
      </c>
      <c r="B15" s="2" t="s">
        <v>638</v>
      </c>
      <c r="C15" s="2" t="s">
        <v>558</v>
      </c>
      <c r="D15" s="2" t="s">
        <v>639</v>
      </c>
    </row>
    <row r="16" spans="1:4" ht="35.75" customHeight="1">
      <c r="A16" s="2" t="s">
        <v>563</v>
      </c>
      <c r="B16" s="2" t="s">
        <v>640</v>
      </c>
      <c r="C16" s="2" t="s">
        <v>562</v>
      </c>
      <c r="D16" s="2" t="s">
        <v>641</v>
      </c>
    </row>
    <row r="17" spans="1:4" ht="35.75" customHeight="1">
      <c r="A17" s="2" t="s">
        <v>568</v>
      </c>
      <c r="B17" s="2" t="s">
        <v>642</v>
      </c>
      <c r="C17" s="2" t="s">
        <v>567</v>
      </c>
      <c r="D17" s="2" t="s">
        <v>643</v>
      </c>
    </row>
    <row r="18" spans="1:4" ht="35.75" customHeight="1">
      <c r="A18" s="2" t="s">
        <v>573</v>
      </c>
      <c r="B18" s="2" t="s">
        <v>644</v>
      </c>
      <c r="C18" s="2" t="s">
        <v>572</v>
      </c>
      <c r="D18" s="2" t="s">
        <v>645</v>
      </c>
    </row>
    <row r="19" spans="1:4" ht="35.75" customHeight="1">
      <c r="A19" s="2" t="s">
        <v>577</v>
      </c>
      <c r="B19" s="2" t="s">
        <v>602</v>
      </c>
      <c r="C19" s="2" t="s">
        <v>576</v>
      </c>
      <c r="D19" s="2" t="s">
        <v>646</v>
      </c>
    </row>
    <row r="20" spans="1:4" ht="35.75" customHeight="1">
      <c r="A20" s="2" t="s">
        <v>581</v>
      </c>
      <c r="B20" s="2" t="s">
        <v>647</v>
      </c>
      <c r="C20" s="2" t="s">
        <v>580</v>
      </c>
      <c r="D20" s="2" t="s">
        <v>639</v>
      </c>
    </row>
    <row r="21" spans="1:4" ht="35.75" customHeight="1">
      <c r="A21" s="2" t="s">
        <v>584</v>
      </c>
      <c r="B21" s="2" t="s">
        <v>648</v>
      </c>
      <c r="C21" s="2" t="s">
        <v>583</v>
      </c>
      <c r="D21" s="2" t="s">
        <v>649</v>
      </c>
    </row>
    <row r="22" spans="1:4" ht="35.75" customHeight="1">
      <c r="A22" s="2" t="s">
        <v>587</v>
      </c>
      <c r="B22" s="2" t="s">
        <v>650</v>
      </c>
      <c r="C22" s="2" t="s">
        <v>586</v>
      </c>
      <c r="D22" s="2" t="s">
        <v>651</v>
      </c>
    </row>
    <row r="23" spans="1:4" ht="4.5" customHeight="1"/>
    <row r="24" spans="1:4" ht="4.5" customHeight="1"/>
    <row r="25" spans="1:4" ht="4.5" customHeight="1"/>
    <row r="26" spans="1:4" ht="4.5" customHeight="1"/>
    <row r="27" spans="1:4" ht="4.5" customHeight="1"/>
    <row r="28" spans="1:4" ht="4.5" customHeight="1"/>
    <row r="29" spans="1:4" ht="4.5" customHeight="1"/>
    <row r="30" spans="1:4" ht="4.5" customHeight="1"/>
    <row r="31" spans="1:4" ht="4.5" customHeight="1"/>
    <row r="32" spans="1:4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tabSelected="1" topLeftCell="A7" workbookViewId="0">
      <selection activeCell="B21" sqref="B21"/>
    </sheetView>
  </sheetViews>
  <sheetFormatPr defaultRowHeight="13.5"/>
  <cols>
    <col min="1" max="1" width="28" customWidth="1"/>
    <col min="2" max="2" width="57.0625" customWidth="1"/>
    <col min="3" max="3" width="58" customWidth="1"/>
  </cols>
  <sheetData>
    <row r="1" spans="1:3" ht="50.75" customHeight="1">
      <c r="A1" s="14" t="s">
        <v>13</v>
      </c>
      <c r="B1" s="14"/>
      <c r="C1" s="14"/>
    </row>
    <row r="2" spans="1:3" ht="50.75" customHeight="1">
      <c r="A2" s="15" t="s">
        <v>14</v>
      </c>
      <c r="B2" s="15"/>
      <c r="C2" s="15"/>
    </row>
    <row r="3" spans="1:3" ht="50.75" customHeight="1"/>
    <row r="4" spans="1:3" ht="50.75" customHeight="1">
      <c r="A4" s="3" t="s">
        <v>15</v>
      </c>
      <c r="B4" s="3" t="s">
        <v>16</v>
      </c>
      <c r="C4" s="3" t="s">
        <v>10</v>
      </c>
    </row>
    <row r="5" spans="1:3" ht="50.75" customHeight="1">
      <c r="A5" s="2" t="s">
        <v>17</v>
      </c>
      <c r="B5" s="2" t="s">
        <v>18</v>
      </c>
      <c r="C5" s="2" t="s">
        <v>652</v>
      </c>
    </row>
    <row r="6" spans="1:3" ht="50.75" customHeight="1">
      <c r="A6" s="2" t="s">
        <v>19</v>
      </c>
      <c r="B6" s="2" t="s">
        <v>20</v>
      </c>
      <c r="C6" s="2" t="s">
        <v>21</v>
      </c>
    </row>
    <row r="7" spans="1:3" ht="50.75" customHeight="1">
      <c r="A7" s="2" t="s">
        <v>22</v>
      </c>
      <c r="B7" s="2" t="s">
        <v>23</v>
      </c>
      <c r="C7" s="2" t="s">
        <v>24</v>
      </c>
    </row>
    <row r="8" spans="1:3" ht="50.75" customHeight="1">
      <c r="A8" s="2" t="s">
        <v>22</v>
      </c>
      <c r="B8" s="2" t="s">
        <v>25</v>
      </c>
      <c r="C8" s="2" t="s">
        <v>653</v>
      </c>
    </row>
    <row r="9" spans="1:3" ht="50.75" customHeight="1">
      <c r="A9" s="2" t="s">
        <v>26</v>
      </c>
      <c r="B9" s="2" t="s">
        <v>27</v>
      </c>
      <c r="C9" s="2" t="s">
        <v>28</v>
      </c>
    </row>
    <row r="10" spans="1:3" ht="50.75" customHeight="1">
      <c r="A10" s="2" t="s">
        <v>29</v>
      </c>
      <c r="B10" s="2" t="s">
        <v>30</v>
      </c>
      <c r="C10" s="2" t="s">
        <v>654</v>
      </c>
    </row>
    <row r="11" spans="1:3" ht="50.75" customHeight="1">
      <c r="A11" s="2" t="s">
        <v>31</v>
      </c>
      <c r="B11" s="2" t="s">
        <v>32</v>
      </c>
      <c r="C11" s="2" t="s">
        <v>655</v>
      </c>
    </row>
    <row r="12" spans="1:3" ht="50.75" customHeight="1">
      <c r="A12" s="2" t="s">
        <v>33</v>
      </c>
      <c r="B12" s="2" t="s">
        <v>34</v>
      </c>
      <c r="C12" s="2" t="s">
        <v>35</v>
      </c>
    </row>
    <row r="13" spans="1:3" ht="50.75" customHeight="1">
      <c r="A13" s="2" t="s">
        <v>36</v>
      </c>
      <c r="B13" s="2" t="s">
        <v>37</v>
      </c>
      <c r="C13" s="2" t="s">
        <v>38</v>
      </c>
    </row>
    <row r="14" spans="1:3" ht="4.5" customHeight="1"/>
    <row r="15" spans="1:3" ht="4.5" customHeight="1"/>
    <row r="16" spans="1:3" ht="4.5" customHeight="1"/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C1"/>
    <mergeCell ref="A2:C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>
      <selection activeCell="C31" sqref="C31"/>
    </sheetView>
  </sheetViews>
  <sheetFormatPr defaultRowHeight="13.5"/>
  <cols>
    <col min="1" max="1" width="30" customWidth="1"/>
    <col min="2" max="3" width="22" customWidth="1"/>
    <col min="4" max="5" width="14" customWidth="1"/>
  </cols>
  <sheetData>
    <row r="1" spans="1:5" ht="30" customHeight="1">
      <c r="A1" s="14" t="s">
        <v>39</v>
      </c>
      <c r="B1" s="14"/>
      <c r="C1" s="14"/>
      <c r="D1" s="14"/>
      <c r="E1" s="14"/>
    </row>
    <row r="2" spans="1:5" ht="30" customHeight="1">
      <c r="A2" s="15" t="s">
        <v>40</v>
      </c>
      <c r="B2" s="15"/>
      <c r="C2" s="15"/>
      <c r="D2" s="15"/>
      <c r="E2" s="15"/>
    </row>
    <row r="3" spans="1:5" ht="30" customHeight="1"/>
    <row r="4" spans="1:5" ht="30" customHeight="1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</row>
    <row r="5" spans="1:5" ht="30" customHeight="1">
      <c r="A5" s="2" t="s">
        <v>46</v>
      </c>
      <c r="B5" s="8">
        <v>4107.2120833333338</v>
      </c>
      <c r="C5" s="8">
        <v>79248.862500000003</v>
      </c>
      <c r="D5" s="7">
        <f t="shared" ref="D5:D11" si="0">B5/SUM($B$5:$B$11)</f>
        <v>3.4795986668539128E-3</v>
      </c>
      <c r="E5" s="7">
        <f t="shared" ref="E5:E11" si="1">C5/SUM($C$5:$C$11)</f>
        <v>1.9895630469742621E-2</v>
      </c>
    </row>
    <row r="6" spans="1:5" ht="30" customHeight="1">
      <c r="A6" s="2" t="s">
        <v>47</v>
      </c>
      <c r="B6" s="8">
        <v>196744.582376304</v>
      </c>
      <c r="C6" s="8">
        <v>891183.65573255648</v>
      </c>
      <c r="D6" s="7">
        <f t="shared" si="0"/>
        <v>0.166680505573434</v>
      </c>
      <c r="E6" s="7">
        <f t="shared" si="1"/>
        <v>0.2237339456465923</v>
      </c>
    </row>
    <row r="7" spans="1:5" ht="30" customHeight="1">
      <c r="A7" s="2" t="s">
        <v>48</v>
      </c>
      <c r="B7" s="8">
        <v>13129.034825499475</v>
      </c>
      <c r="C7" s="8">
        <v>52081.165927640708</v>
      </c>
      <c r="D7" s="7">
        <f t="shared" si="0"/>
        <v>1.1122817899096778E-2</v>
      </c>
      <c r="E7" s="7">
        <f t="shared" si="1"/>
        <v>1.3075110468994929E-2</v>
      </c>
    </row>
    <row r="8" spans="1:5" ht="30" customHeight="1">
      <c r="A8" s="2" t="s">
        <v>49</v>
      </c>
      <c r="B8" s="8">
        <v>324038.69671142293</v>
      </c>
      <c r="C8" s="8">
        <v>1382246.1225320075</v>
      </c>
      <c r="D8" s="7">
        <f t="shared" si="0"/>
        <v>0.27452310574891703</v>
      </c>
      <c r="E8" s="7">
        <f t="shared" si="1"/>
        <v>0.34701643915875002</v>
      </c>
    </row>
    <row r="9" spans="1:5" ht="30" customHeight="1">
      <c r="A9" s="2" t="s">
        <v>50</v>
      </c>
      <c r="B9" s="8">
        <v>401474.86079500802</v>
      </c>
      <c r="C9" s="8">
        <v>825928.33391153952</v>
      </c>
      <c r="D9" s="7">
        <f t="shared" si="0"/>
        <v>0.34012643176290891</v>
      </c>
      <c r="E9" s="7">
        <f t="shared" si="1"/>
        <v>0.20735142950467184</v>
      </c>
    </row>
    <row r="10" spans="1:5" ht="30" customHeight="1">
      <c r="A10" s="2" t="s">
        <v>51</v>
      </c>
      <c r="B10" s="8">
        <v>227811.25705701933</v>
      </c>
      <c r="C10" s="8">
        <v>693366.7793232738</v>
      </c>
      <c r="D10" s="7">
        <f t="shared" si="0"/>
        <v>0.19299995477871337</v>
      </c>
      <c r="E10" s="7">
        <f t="shared" si="1"/>
        <v>0.17407151076031449</v>
      </c>
    </row>
    <row r="11" spans="1:5" ht="30" customHeight="1">
      <c r="A11" s="2" t="s">
        <v>52</v>
      </c>
      <c r="B11" s="8">
        <v>13063.840269786582</v>
      </c>
      <c r="C11" s="8">
        <v>59174.594740641747</v>
      </c>
      <c r="D11" s="7">
        <f t="shared" si="0"/>
        <v>1.1067585570076015E-2</v>
      </c>
      <c r="E11" s="7">
        <f t="shared" si="1"/>
        <v>1.4855933990933727E-2</v>
      </c>
    </row>
    <row r="12" spans="1:5" ht="4.5" customHeight="1"/>
    <row r="13" spans="1:5" ht="4.5" customHeight="1"/>
    <row r="14" spans="1:5" ht="4.5" customHeight="1"/>
    <row r="15" spans="1:5" ht="4.5" customHeight="1"/>
    <row r="16" spans="1:5" ht="4.5" customHeight="1"/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E1"/>
    <mergeCell ref="A2:E2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activeCell="G11" sqref="G11"/>
    </sheetView>
  </sheetViews>
  <sheetFormatPr defaultRowHeight="13.5"/>
  <cols>
    <col min="1" max="1" width="40" customWidth="1"/>
    <col min="2" max="2" width="15" customWidth="1"/>
    <col min="3" max="3" width="22" customWidth="1"/>
    <col min="4" max="4" width="18" customWidth="1"/>
  </cols>
  <sheetData>
    <row r="1" spans="1:4" ht="27.4" customHeight="1">
      <c r="A1" s="14" t="s">
        <v>53</v>
      </c>
      <c r="B1" s="14"/>
      <c r="C1" s="14"/>
      <c r="D1" s="14"/>
    </row>
    <row r="2" spans="1:4" ht="27.4" customHeight="1">
      <c r="A2" s="15" t="s">
        <v>54</v>
      </c>
      <c r="B2" s="15"/>
      <c r="C2" s="15"/>
      <c r="D2" s="15"/>
    </row>
    <row r="3" spans="1:4" ht="27.4" customHeight="1"/>
    <row r="4" spans="1:4" ht="27.4" customHeight="1">
      <c r="A4" s="3" t="s">
        <v>55</v>
      </c>
      <c r="B4" s="3" t="s">
        <v>56</v>
      </c>
      <c r="C4" s="3" t="s">
        <v>57</v>
      </c>
      <c r="D4" s="3" t="s">
        <v>58</v>
      </c>
    </row>
    <row r="5" spans="1:4" ht="27.4" customHeight="1">
      <c r="A5" s="2" t="s">
        <v>59</v>
      </c>
      <c r="B5" s="9">
        <v>44347</v>
      </c>
      <c r="C5" s="5">
        <v>1.5435000000000101E+24</v>
      </c>
      <c r="D5" s="2" t="s">
        <v>60</v>
      </c>
    </row>
    <row r="6" spans="1:4" ht="27.4" customHeight="1">
      <c r="A6" s="2" t="s">
        <v>61</v>
      </c>
      <c r="B6" s="9">
        <v>44419</v>
      </c>
      <c r="C6" s="5">
        <v>3.7000000000000001E+23</v>
      </c>
      <c r="D6" s="2" t="s">
        <v>60</v>
      </c>
    </row>
    <row r="7" spans="1:4" ht="27.4" customHeight="1">
      <c r="A7" s="2" t="s">
        <v>62</v>
      </c>
      <c r="B7" s="9">
        <v>44449</v>
      </c>
      <c r="C7" s="5">
        <v>1.476E+23</v>
      </c>
      <c r="D7" s="2" t="s">
        <v>60</v>
      </c>
    </row>
    <row r="8" spans="1:4" ht="27.4" customHeight="1">
      <c r="A8" s="2" t="s">
        <v>63</v>
      </c>
      <c r="B8" s="9">
        <v>44449</v>
      </c>
      <c r="C8" s="5">
        <v>2.0000000001000001E+23</v>
      </c>
      <c r="D8" s="2" t="s">
        <v>60</v>
      </c>
    </row>
    <row r="9" spans="1:4" ht="27.4" customHeight="1">
      <c r="A9" s="2" t="s">
        <v>64</v>
      </c>
      <c r="B9" s="9">
        <v>44481</v>
      </c>
      <c r="C9" s="5">
        <v>3.5380000000001001E+23</v>
      </c>
      <c r="D9" s="2" t="s">
        <v>60</v>
      </c>
    </row>
    <row r="10" spans="1:4" ht="27.4" customHeight="1">
      <c r="A10" s="2" t="s">
        <v>65</v>
      </c>
      <c r="B10" s="9">
        <v>44544</v>
      </c>
      <c r="C10" s="5">
        <v>1.6955999999999999E+24</v>
      </c>
      <c r="D10" s="2" t="s">
        <v>60</v>
      </c>
    </row>
    <row r="11" spans="1:4" ht="27.4" customHeight="1">
      <c r="A11" s="2" t="s">
        <v>66</v>
      </c>
      <c r="B11" s="9">
        <v>44553</v>
      </c>
      <c r="C11" s="5">
        <v>1.0421E+24</v>
      </c>
      <c r="D11" s="2" t="s">
        <v>60</v>
      </c>
    </row>
    <row r="12" spans="1:4" ht="27.4" customHeight="1">
      <c r="A12" s="2" t="s">
        <v>67</v>
      </c>
      <c r="B12" s="9">
        <v>44777</v>
      </c>
      <c r="C12" s="5">
        <v>3.5490054944999999E+23</v>
      </c>
      <c r="D12" s="2" t="s">
        <v>60</v>
      </c>
    </row>
    <row r="13" spans="1:4" ht="27.4" customHeight="1">
      <c r="A13" s="2" t="s">
        <v>68</v>
      </c>
      <c r="B13" s="9">
        <v>45000</v>
      </c>
      <c r="C13" s="5">
        <v>2.4E+23</v>
      </c>
      <c r="D13" s="2" t="s">
        <v>60</v>
      </c>
    </row>
    <row r="14" spans="1:4" ht="27.4" customHeight="1">
      <c r="A14" s="2" t="s">
        <v>69</v>
      </c>
      <c r="B14" s="9">
        <v>45005</v>
      </c>
      <c r="C14" s="5">
        <v>4.6699999999999997E+23</v>
      </c>
      <c r="D14" s="2" t="s">
        <v>60</v>
      </c>
    </row>
    <row r="15" spans="1:4" ht="27.4" customHeight="1">
      <c r="A15" s="2" t="s">
        <v>70</v>
      </c>
      <c r="B15" s="9">
        <v>45026</v>
      </c>
      <c r="C15" s="5">
        <v>3.8900000000000001E+24</v>
      </c>
      <c r="D15" s="2" t="s">
        <v>60</v>
      </c>
    </row>
    <row r="16" spans="1:4" ht="27.4" customHeight="1">
      <c r="A16" s="2" t="s">
        <v>71</v>
      </c>
      <c r="B16" s="9">
        <v>45113</v>
      </c>
      <c r="C16" s="5">
        <v>6.1999999999999994E+23</v>
      </c>
      <c r="D16" s="2" t="s">
        <v>60</v>
      </c>
    </row>
    <row r="17" spans="1:4" ht="27.4" customHeight="1">
      <c r="A17" s="2" t="s">
        <v>72</v>
      </c>
      <c r="B17" s="9">
        <v>45113</v>
      </c>
      <c r="C17" s="5">
        <v>9.984E+23</v>
      </c>
      <c r="D17" s="2" t="s">
        <v>60</v>
      </c>
    </row>
    <row r="18" spans="1:4" ht="27.4" customHeight="1">
      <c r="A18" s="2" t="s">
        <v>73</v>
      </c>
      <c r="B18" s="9">
        <v>45147</v>
      </c>
      <c r="C18" s="5">
        <v>8.2679999999999999E+23</v>
      </c>
      <c r="D18" s="2" t="s">
        <v>60</v>
      </c>
    </row>
    <row r="19" spans="1:4" ht="27.4" customHeight="1">
      <c r="A19" s="2" t="s">
        <v>74</v>
      </c>
      <c r="B19" s="9">
        <v>45154</v>
      </c>
      <c r="C19" s="5">
        <v>1.248E+23</v>
      </c>
      <c r="D19" s="2" t="s">
        <v>60</v>
      </c>
    </row>
    <row r="20" spans="1:4" ht="27.4" customHeight="1">
      <c r="A20" s="2" t="s">
        <v>75</v>
      </c>
      <c r="B20" s="9">
        <v>45167</v>
      </c>
      <c r="C20" s="5">
        <v>1.2E+24</v>
      </c>
      <c r="D20" s="2" t="s">
        <v>60</v>
      </c>
    </row>
    <row r="21" spans="1:4" ht="27.4" customHeight="1">
      <c r="A21" s="2" t="s">
        <v>76</v>
      </c>
      <c r="B21" s="9">
        <v>45175</v>
      </c>
      <c r="C21" s="5">
        <v>1.02E+24</v>
      </c>
      <c r="D21" s="2" t="s">
        <v>60</v>
      </c>
    </row>
    <row r="22" spans="1:4" ht="27.4" customHeight="1">
      <c r="A22" s="2" t="s">
        <v>77</v>
      </c>
      <c r="B22" s="9">
        <v>45175</v>
      </c>
      <c r="C22" s="5">
        <v>3.7599999999999998E+24</v>
      </c>
      <c r="D22" s="2" t="s">
        <v>60</v>
      </c>
    </row>
    <row r="23" spans="1:4" ht="27.4" customHeight="1">
      <c r="A23" s="2" t="s">
        <v>78</v>
      </c>
      <c r="B23" s="9">
        <v>45175</v>
      </c>
      <c r="C23" s="5">
        <v>2.0299999999999999E+23</v>
      </c>
      <c r="D23" s="2" t="s">
        <v>60</v>
      </c>
    </row>
    <row r="24" spans="1:4" ht="27.4" customHeight="1">
      <c r="A24" s="2" t="s">
        <v>79</v>
      </c>
      <c r="B24" s="9">
        <v>45176</v>
      </c>
      <c r="C24" s="5">
        <v>1.2E+24</v>
      </c>
      <c r="D24" s="2" t="s">
        <v>60</v>
      </c>
    </row>
    <row r="25" spans="1:4" ht="27.4" customHeight="1">
      <c r="A25" s="2" t="s">
        <v>80</v>
      </c>
      <c r="B25" s="9">
        <v>45189</v>
      </c>
      <c r="C25" s="5">
        <v>1.092E+23</v>
      </c>
      <c r="D25" s="2" t="s">
        <v>60</v>
      </c>
    </row>
    <row r="26" spans="1:4" ht="27.4" customHeight="1">
      <c r="A26" s="2" t="s">
        <v>81</v>
      </c>
      <c r="B26" s="9">
        <v>45197</v>
      </c>
      <c r="C26" s="5">
        <v>1.01E+23</v>
      </c>
      <c r="D26" s="2" t="s">
        <v>60</v>
      </c>
    </row>
    <row r="27" spans="1:4" ht="27.4" customHeight="1">
      <c r="A27" s="2" t="s">
        <v>82</v>
      </c>
      <c r="B27" s="9">
        <v>45197</v>
      </c>
      <c r="C27" s="5">
        <v>2.5E+23</v>
      </c>
      <c r="D27" s="2" t="s">
        <v>60</v>
      </c>
    </row>
    <row r="28" spans="1:4" ht="27.4" customHeight="1">
      <c r="A28" s="2" t="s">
        <v>83</v>
      </c>
      <c r="B28" s="9">
        <v>45197</v>
      </c>
      <c r="C28" s="5">
        <v>1.17E+23</v>
      </c>
      <c r="D28" s="2" t="s">
        <v>60</v>
      </c>
    </row>
    <row r="29" spans="1:4" ht="27.4" customHeight="1">
      <c r="A29" s="2" t="s">
        <v>84</v>
      </c>
      <c r="B29" s="9">
        <v>45209</v>
      </c>
      <c r="C29" s="5">
        <v>3.0900000000000001E+23</v>
      </c>
      <c r="D29" s="2" t="s">
        <v>60</v>
      </c>
    </row>
    <row r="30" spans="1:4" ht="27.4" customHeight="1">
      <c r="A30" s="2" t="s">
        <v>85</v>
      </c>
      <c r="B30" s="9">
        <v>45211</v>
      </c>
      <c r="C30" s="5">
        <v>1.668E+23</v>
      </c>
      <c r="D30" s="2" t="s">
        <v>60</v>
      </c>
    </row>
    <row r="31" spans="1:4" ht="27.4" customHeight="1">
      <c r="A31" s="2" t="s">
        <v>86</v>
      </c>
      <c r="B31" s="9">
        <v>45229</v>
      </c>
      <c r="C31" s="5">
        <v>2.5E+23</v>
      </c>
      <c r="D31" s="2" t="s">
        <v>60</v>
      </c>
    </row>
    <row r="32" spans="1:4" ht="27.4" customHeight="1">
      <c r="A32" s="2" t="s">
        <v>87</v>
      </c>
      <c r="B32" s="9">
        <v>45230</v>
      </c>
      <c r="C32" s="5">
        <v>1.2E+24</v>
      </c>
      <c r="D32" s="2" t="s">
        <v>60</v>
      </c>
    </row>
    <row r="33" spans="1:4" ht="27.4" customHeight="1">
      <c r="A33" s="2" t="s">
        <v>88</v>
      </c>
      <c r="B33" s="9">
        <v>45230</v>
      </c>
      <c r="C33" s="5">
        <v>1.0920000000001E+23</v>
      </c>
      <c r="D33" s="2" t="s">
        <v>60</v>
      </c>
    </row>
    <row r="34" spans="1:4" ht="27.4" customHeight="1">
      <c r="A34" s="2" t="s">
        <v>89</v>
      </c>
      <c r="B34" s="9">
        <v>45231</v>
      </c>
      <c r="C34" s="5">
        <v>2.4E+23</v>
      </c>
      <c r="D34" s="2" t="s">
        <v>60</v>
      </c>
    </row>
    <row r="35" spans="1:4" ht="27.4" customHeight="1">
      <c r="A35" s="2" t="s">
        <v>90</v>
      </c>
      <c r="B35" s="9">
        <v>45232</v>
      </c>
      <c r="C35" s="5">
        <v>6.0999999999999998E+23</v>
      </c>
      <c r="D35" s="2" t="s">
        <v>60</v>
      </c>
    </row>
    <row r="36" spans="1:4" ht="27.4" customHeight="1">
      <c r="A36" s="2" t="s">
        <v>91</v>
      </c>
      <c r="B36" s="9">
        <v>45232</v>
      </c>
      <c r="C36" s="5">
        <v>1.26E+23</v>
      </c>
      <c r="D36" s="2" t="s">
        <v>60</v>
      </c>
    </row>
    <row r="37" spans="1:4" ht="27.4" customHeight="1">
      <c r="A37" s="2" t="s">
        <v>92</v>
      </c>
      <c r="B37" s="9">
        <v>45232</v>
      </c>
      <c r="C37" s="5">
        <v>4.2000000000000003E+23</v>
      </c>
      <c r="D37" s="2" t="s">
        <v>60</v>
      </c>
    </row>
    <row r="38" spans="1:4" ht="27.4" customHeight="1">
      <c r="A38" s="2" t="s">
        <v>93</v>
      </c>
      <c r="B38" s="9">
        <v>45232</v>
      </c>
      <c r="C38" s="5">
        <v>1.0500000000000001E+24</v>
      </c>
      <c r="D38" s="2" t="s">
        <v>60</v>
      </c>
    </row>
    <row r="39" spans="1:4" ht="27.4" customHeight="1">
      <c r="A39" s="2" t="s">
        <v>94</v>
      </c>
      <c r="B39" s="9">
        <v>45232</v>
      </c>
      <c r="C39" s="5">
        <v>7.8000000000000001E+23</v>
      </c>
      <c r="D39" s="2" t="s">
        <v>60</v>
      </c>
    </row>
    <row r="40" spans="1:4" ht="27.4" customHeight="1">
      <c r="A40" s="2" t="s">
        <v>95</v>
      </c>
      <c r="B40" s="9">
        <v>45257</v>
      </c>
      <c r="C40" s="5">
        <v>1.7800000000000001E+23</v>
      </c>
      <c r="D40" s="2" t="s">
        <v>60</v>
      </c>
    </row>
    <row r="41" spans="1:4" ht="27.4" customHeight="1">
      <c r="A41" s="2" t="s">
        <v>96</v>
      </c>
      <c r="B41" s="9">
        <v>45260</v>
      </c>
      <c r="C41" s="5">
        <v>1.2999999999999999E+24</v>
      </c>
      <c r="D41" s="2" t="s">
        <v>60</v>
      </c>
    </row>
    <row r="42" spans="1:4" ht="27.4" customHeight="1">
      <c r="A42" s="2" t="s">
        <v>97</v>
      </c>
      <c r="B42" s="9">
        <v>45268</v>
      </c>
      <c r="C42" s="5">
        <v>1.24800000000001E+24</v>
      </c>
      <c r="D42" s="2" t="s">
        <v>60</v>
      </c>
    </row>
    <row r="43" spans="1:4" ht="27.4" customHeight="1">
      <c r="A43" s="2" t="s">
        <v>98</v>
      </c>
      <c r="B43" s="9">
        <v>45275</v>
      </c>
      <c r="C43" s="5">
        <v>1.7220000000000001E+23</v>
      </c>
      <c r="D43" s="2" t="s">
        <v>60</v>
      </c>
    </row>
    <row r="44" spans="1:4" ht="27.4" customHeight="1">
      <c r="A44" s="2" t="s">
        <v>99</v>
      </c>
      <c r="B44" s="9">
        <v>45282</v>
      </c>
      <c r="C44" s="5">
        <v>4.77E+23</v>
      </c>
      <c r="D44" s="2" t="s">
        <v>60</v>
      </c>
    </row>
    <row r="45" spans="1:4" ht="27.4" customHeight="1">
      <c r="A45" s="2" t="s">
        <v>100</v>
      </c>
      <c r="B45" s="9">
        <v>45296</v>
      </c>
      <c r="C45" s="5">
        <v>8.0400000000000003E+23</v>
      </c>
      <c r="D45" s="2" t="s">
        <v>60</v>
      </c>
    </row>
    <row r="46" spans="1:4" ht="27.4" customHeight="1">
      <c r="A46" s="2" t="s">
        <v>101</v>
      </c>
      <c r="B46" s="9">
        <v>45303</v>
      </c>
      <c r="C46" s="5">
        <v>3.1200000000000002E+23</v>
      </c>
      <c r="D46" s="2" t="s">
        <v>60</v>
      </c>
    </row>
    <row r="47" spans="1:4" ht="27.4" customHeight="1">
      <c r="A47" s="2" t="s">
        <v>102</v>
      </c>
      <c r="B47" s="9">
        <v>45316</v>
      </c>
      <c r="C47" s="5">
        <v>3.9600000000000001E+23</v>
      </c>
      <c r="D47" s="2" t="s">
        <v>60</v>
      </c>
    </row>
    <row r="48" spans="1:4" ht="27.4" customHeight="1">
      <c r="A48" s="2" t="s">
        <v>103</v>
      </c>
      <c r="B48" s="9">
        <v>45326</v>
      </c>
      <c r="C48" s="5">
        <v>1.6799999999999998E+23</v>
      </c>
      <c r="D48" s="2" t="s">
        <v>60</v>
      </c>
    </row>
    <row r="49" spans="1:4" ht="27.4" customHeight="1">
      <c r="A49" s="2" t="s">
        <v>104</v>
      </c>
      <c r="B49" s="9">
        <v>45326</v>
      </c>
      <c r="C49" s="5">
        <v>1.2999999999999999E+24</v>
      </c>
      <c r="D49" s="2" t="s">
        <v>60</v>
      </c>
    </row>
    <row r="50" spans="1:4" ht="27.4" customHeight="1">
      <c r="A50" s="2" t="s">
        <v>105</v>
      </c>
      <c r="B50" s="9">
        <v>45326</v>
      </c>
      <c r="C50" s="5">
        <v>3.3599999999999997E+23</v>
      </c>
      <c r="D50" s="2" t="s">
        <v>60</v>
      </c>
    </row>
    <row r="51" spans="1:4" ht="27.4" customHeight="1">
      <c r="A51" s="2" t="s">
        <v>106</v>
      </c>
      <c r="B51" s="9">
        <v>45345</v>
      </c>
      <c r="C51" s="5">
        <v>3.8999999999999998E+24</v>
      </c>
      <c r="D51" s="2" t="s">
        <v>60</v>
      </c>
    </row>
    <row r="52" spans="1:4" ht="27.4" customHeight="1">
      <c r="A52" s="2" t="s">
        <v>107</v>
      </c>
      <c r="B52" s="9">
        <v>45345</v>
      </c>
      <c r="C52" s="5">
        <v>9.6910000000000995E+23</v>
      </c>
      <c r="D52" s="2" t="s">
        <v>60</v>
      </c>
    </row>
    <row r="53" spans="1:4" ht="27.4" customHeight="1">
      <c r="A53" s="2" t="s">
        <v>108</v>
      </c>
      <c r="B53" s="9">
        <v>45345</v>
      </c>
      <c r="C53" s="5">
        <v>2.7385671435999999E+23</v>
      </c>
      <c r="D53" s="2" t="s">
        <v>60</v>
      </c>
    </row>
    <row r="54" spans="1:4" ht="27.4" customHeight="1">
      <c r="A54" s="2" t="s">
        <v>109</v>
      </c>
      <c r="B54" s="9">
        <v>45355</v>
      </c>
      <c r="C54" s="5">
        <v>1.05E+25</v>
      </c>
      <c r="D54" s="2" t="s">
        <v>60</v>
      </c>
    </row>
    <row r="55" spans="1:4" ht="27.4" customHeight="1">
      <c r="A55" s="2" t="s">
        <v>110</v>
      </c>
      <c r="B55" s="9">
        <v>45419</v>
      </c>
      <c r="C55" s="5">
        <v>1.02E+24</v>
      </c>
      <c r="D55" s="2" t="s">
        <v>60</v>
      </c>
    </row>
    <row r="56" spans="1:4" ht="27.4" customHeight="1">
      <c r="A56" s="2" t="s">
        <v>111</v>
      </c>
      <c r="B56" s="9">
        <v>45421</v>
      </c>
      <c r="C56" s="5">
        <v>3.5999999999999998E+23</v>
      </c>
      <c r="D56" s="2" t="s">
        <v>60</v>
      </c>
    </row>
    <row r="57" spans="1:4" ht="27.4" customHeight="1">
      <c r="A57" s="2" t="s">
        <v>112</v>
      </c>
      <c r="B57" s="9">
        <v>45425</v>
      </c>
      <c r="C57" s="5">
        <v>1.7999999999999999E+24</v>
      </c>
      <c r="D57" s="2" t="s">
        <v>60</v>
      </c>
    </row>
    <row r="58" spans="1:4" ht="27.4" customHeight="1">
      <c r="A58" s="2" t="s">
        <v>113</v>
      </c>
      <c r="B58" s="9">
        <v>45425</v>
      </c>
      <c r="C58" s="5">
        <v>1.9072800000000001E+23</v>
      </c>
      <c r="D58" s="2" t="s">
        <v>60</v>
      </c>
    </row>
    <row r="59" spans="1:4" ht="27.4" customHeight="1">
      <c r="A59" s="2" t="s">
        <v>114</v>
      </c>
      <c r="B59" s="9">
        <v>45425</v>
      </c>
      <c r="C59" s="5">
        <v>7.3439999999999995E+23</v>
      </c>
      <c r="D59" s="2" t="s">
        <v>60</v>
      </c>
    </row>
    <row r="60" spans="1:4" ht="27.4" customHeight="1">
      <c r="A60" s="2" t="s">
        <v>115</v>
      </c>
      <c r="B60" s="9">
        <v>45433</v>
      </c>
      <c r="C60" s="5">
        <v>1.0608E+24</v>
      </c>
      <c r="D60" s="2" t="s">
        <v>60</v>
      </c>
    </row>
    <row r="61" spans="1:4" ht="27.4" customHeight="1">
      <c r="A61" s="2" t="s">
        <v>116</v>
      </c>
      <c r="B61" s="9">
        <v>45434</v>
      </c>
      <c r="C61" s="5">
        <v>1.428E+23</v>
      </c>
      <c r="D61" s="2" t="s">
        <v>60</v>
      </c>
    </row>
    <row r="62" spans="1:4" ht="27.4" customHeight="1">
      <c r="A62" s="2" t="s">
        <v>117</v>
      </c>
      <c r="B62" s="9">
        <v>45440</v>
      </c>
      <c r="C62" s="5">
        <v>4.0500000000000001E+23</v>
      </c>
      <c r="D62" s="2" t="s">
        <v>60</v>
      </c>
    </row>
    <row r="63" spans="1:4" ht="27.4" customHeight="1">
      <c r="A63" s="2" t="s">
        <v>118</v>
      </c>
      <c r="B63" s="9">
        <v>45450</v>
      </c>
      <c r="C63" s="5">
        <v>2.9400000000001E+23</v>
      </c>
      <c r="D63" s="2" t="s">
        <v>60</v>
      </c>
    </row>
    <row r="64" spans="1:4" ht="27.4" customHeight="1">
      <c r="A64" s="2" t="s">
        <v>119</v>
      </c>
      <c r="B64" s="9">
        <v>45450</v>
      </c>
      <c r="C64" s="5">
        <v>3.0199999999999999E+24</v>
      </c>
      <c r="D64" s="2" t="s">
        <v>60</v>
      </c>
    </row>
    <row r="65" spans="1:4" ht="27.4" customHeight="1">
      <c r="A65" s="2" t="s">
        <v>120</v>
      </c>
      <c r="B65" s="9">
        <v>45450</v>
      </c>
      <c r="C65" s="5">
        <v>3.7800000000001E+23</v>
      </c>
      <c r="D65" s="2" t="s">
        <v>60</v>
      </c>
    </row>
    <row r="66" spans="1:4" ht="27.4" customHeight="1">
      <c r="A66" s="2" t="s">
        <v>121</v>
      </c>
      <c r="B66" s="9">
        <v>45457</v>
      </c>
      <c r="C66" s="5">
        <v>1.2E+24</v>
      </c>
      <c r="D66" s="2" t="s">
        <v>60</v>
      </c>
    </row>
    <row r="67" spans="1:4" ht="27.4" customHeight="1">
      <c r="A67" s="2" t="s">
        <v>122</v>
      </c>
      <c r="B67" s="9">
        <v>45458</v>
      </c>
      <c r="C67" s="5">
        <v>4.3596130999999999E+23</v>
      </c>
      <c r="D67" s="2" t="s">
        <v>60</v>
      </c>
    </row>
    <row r="68" spans="1:4" ht="27.4" customHeight="1">
      <c r="A68" s="2" t="s">
        <v>123</v>
      </c>
      <c r="B68" s="9">
        <v>45509</v>
      </c>
      <c r="C68" s="5">
        <v>9.6540000000000004E+23</v>
      </c>
      <c r="D68" s="2" t="s">
        <v>60</v>
      </c>
    </row>
    <row r="69" spans="1:4" ht="27.4" customHeight="1">
      <c r="A69" s="2" t="s">
        <v>124</v>
      </c>
      <c r="B69" s="9">
        <v>45511</v>
      </c>
      <c r="C69" s="5">
        <v>3.9999999999999997E+23</v>
      </c>
      <c r="D69" s="2" t="s">
        <v>60</v>
      </c>
    </row>
    <row r="70" spans="1:4" ht="27.4" customHeight="1">
      <c r="A70" s="2" t="s">
        <v>125</v>
      </c>
      <c r="B70" s="9">
        <v>45516</v>
      </c>
      <c r="C70" s="5">
        <v>3.9391101E+23</v>
      </c>
      <c r="D70" s="2" t="s">
        <v>60</v>
      </c>
    </row>
    <row r="71" spans="1:4" ht="27.4" customHeight="1">
      <c r="A71" s="2" t="s">
        <v>126</v>
      </c>
      <c r="B71" s="9">
        <v>45541</v>
      </c>
      <c r="C71" s="5">
        <v>1.7892000000000001E+24</v>
      </c>
      <c r="D71" s="2" t="s">
        <v>60</v>
      </c>
    </row>
    <row r="72" spans="1:4" ht="27.4" customHeight="1">
      <c r="A72" s="2" t="s">
        <v>127</v>
      </c>
      <c r="B72" s="9">
        <v>45552</v>
      </c>
      <c r="C72" s="5">
        <v>3.5099999999999999E+24</v>
      </c>
      <c r="D72" s="2" t="s">
        <v>60</v>
      </c>
    </row>
    <row r="73" spans="1:4" ht="27.4" customHeight="1">
      <c r="A73" s="2" t="s">
        <v>128</v>
      </c>
      <c r="B73" s="9">
        <v>45553</v>
      </c>
      <c r="C73" s="5">
        <v>6.0479999999999997E+23</v>
      </c>
      <c r="D73" s="2" t="s">
        <v>60</v>
      </c>
    </row>
    <row r="74" spans="1:4" ht="27.4" customHeight="1">
      <c r="A74" s="2" t="s">
        <v>129</v>
      </c>
      <c r="B74" s="9">
        <v>45553</v>
      </c>
      <c r="C74" s="5">
        <v>2.5113000000000001E+23</v>
      </c>
      <c r="D74" s="2" t="s">
        <v>60</v>
      </c>
    </row>
    <row r="75" spans="1:4" ht="27.4" customHeight="1">
      <c r="A75" s="2" t="s">
        <v>130</v>
      </c>
      <c r="B75" s="9">
        <v>45554</v>
      </c>
      <c r="C75" s="5">
        <v>8.2188000000000002E+23</v>
      </c>
      <c r="D75" s="2" t="s">
        <v>60</v>
      </c>
    </row>
    <row r="76" spans="1:4" ht="27.4" customHeight="1">
      <c r="A76" s="2" t="s">
        <v>131</v>
      </c>
      <c r="B76" s="9">
        <v>45554</v>
      </c>
      <c r="C76" s="5">
        <v>7.7999999999999995E+24</v>
      </c>
      <c r="D76" s="2" t="s">
        <v>60</v>
      </c>
    </row>
    <row r="77" spans="1:4" ht="27.4" customHeight="1">
      <c r="A77" s="2" t="s">
        <v>132</v>
      </c>
      <c r="B77" s="9">
        <v>45554</v>
      </c>
      <c r="C77" s="5">
        <v>3.3372000000000001E+23</v>
      </c>
      <c r="D77" s="2" t="s">
        <v>60</v>
      </c>
    </row>
    <row r="78" spans="1:4" ht="27.4" customHeight="1">
      <c r="A78" s="2" t="s">
        <v>133</v>
      </c>
      <c r="B78" s="9">
        <v>45554</v>
      </c>
      <c r="C78" s="5">
        <v>1.58760000000001E+24</v>
      </c>
      <c r="D78" s="2" t="s">
        <v>60</v>
      </c>
    </row>
    <row r="79" spans="1:4" ht="27.4" customHeight="1">
      <c r="A79" s="2" t="s">
        <v>134</v>
      </c>
      <c r="B79" s="9">
        <v>45554</v>
      </c>
      <c r="C79" s="5">
        <v>1.6631999999999999E+23</v>
      </c>
      <c r="D79" s="2" t="s">
        <v>60</v>
      </c>
    </row>
    <row r="80" spans="1:4" ht="27.4" customHeight="1">
      <c r="A80" s="2" t="s">
        <v>135</v>
      </c>
      <c r="B80" s="9">
        <v>45555</v>
      </c>
      <c r="C80" s="5">
        <v>6.9000000000000003E+24</v>
      </c>
      <c r="D80" s="2" t="s">
        <v>60</v>
      </c>
    </row>
    <row r="81" spans="1:4" ht="27.4" customHeight="1">
      <c r="A81" s="2" t="s">
        <v>136</v>
      </c>
      <c r="B81" s="9">
        <v>45583</v>
      </c>
      <c r="C81" s="5">
        <v>1.5E+24</v>
      </c>
      <c r="D81" s="2" t="s">
        <v>60</v>
      </c>
    </row>
    <row r="82" spans="1:4" ht="27.4" customHeight="1">
      <c r="A82" s="2" t="s">
        <v>137</v>
      </c>
      <c r="B82" s="9">
        <v>45593</v>
      </c>
      <c r="C82" s="5">
        <v>2.5049999999999999E+25</v>
      </c>
      <c r="D82" s="2" t="s">
        <v>60</v>
      </c>
    </row>
    <row r="83" spans="1:4" ht="27.4" customHeight="1">
      <c r="A83" s="2" t="s">
        <v>138</v>
      </c>
      <c r="B83" s="9">
        <v>45602</v>
      </c>
      <c r="C83" s="5">
        <v>3.4923699999999998E+24</v>
      </c>
      <c r="D83" s="2" t="s">
        <v>60</v>
      </c>
    </row>
    <row r="84" spans="1:4" ht="27.4" customHeight="1">
      <c r="A84" s="2" t="s">
        <v>139</v>
      </c>
      <c r="B84" s="9">
        <v>45608</v>
      </c>
      <c r="C84" s="5">
        <v>1.0725E+24</v>
      </c>
      <c r="D84" s="2" t="s">
        <v>60</v>
      </c>
    </row>
    <row r="85" spans="1:4" ht="27.4" customHeight="1">
      <c r="A85" s="2" t="s">
        <v>140</v>
      </c>
      <c r="B85" s="9">
        <v>45629</v>
      </c>
      <c r="C85" s="5">
        <v>1.4814815000000001E+23</v>
      </c>
      <c r="D85" s="2" t="s">
        <v>60</v>
      </c>
    </row>
    <row r="86" spans="1:4" ht="27.4" customHeight="1">
      <c r="A86" s="2" t="s">
        <v>141</v>
      </c>
      <c r="B86" s="9">
        <v>45635</v>
      </c>
      <c r="C86" s="5">
        <v>4.2099999999999998E+23</v>
      </c>
      <c r="D86" s="2" t="s">
        <v>60</v>
      </c>
    </row>
    <row r="87" spans="1:4" ht="27.4" customHeight="1">
      <c r="A87" s="2" t="s">
        <v>142</v>
      </c>
      <c r="B87" s="9">
        <v>45635</v>
      </c>
      <c r="C87" s="5">
        <v>1.2500000000000001E+24</v>
      </c>
      <c r="D87" s="2" t="s">
        <v>60</v>
      </c>
    </row>
    <row r="88" spans="1:4" ht="27.4" customHeight="1">
      <c r="A88" s="2" t="s">
        <v>143</v>
      </c>
      <c r="B88" s="9">
        <v>45643</v>
      </c>
      <c r="C88" s="5">
        <v>5.8800000000000001E+23</v>
      </c>
      <c r="D88" s="2" t="s">
        <v>60</v>
      </c>
    </row>
    <row r="89" spans="1:4" ht="27.4" customHeight="1">
      <c r="A89" s="2" t="s">
        <v>144</v>
      </c>
      <c r="B89" s="9">
        <v>45650</v>
      </c>
      <c r="C89" s="5">
        <v>3.2999999999999999E+24</v>
      </c>
      <c r="D89" s="2" t="s">
        <v>60</v>
      </c>
    </row>
    <row r="90" spans="1:4" ht="27.4" customHeight="1">
      <c r="A90" s="2" t="s">
        <v>145</v>
      </c>
      <c r="B90" s="9">
        <v>45671</v>
      </c>
      <c r="C90" s="5">
        <v>2.1238848000000001E+24</v>
      </c>
      <c r="D90" s="2" t="s">
        <v>60</v>
      </c>
    </row>
    <row r="91" spans="1:4" ht="27.4" customHeight="1">
      <c r="A91" s="2" t="s">
        <v>146</v>
      </c>
      <c r="B91" s="9">
        <v>45671</v>
      </c>
      <c r="C91" s="5">
        <v>3.1417631999999999E+24</v>
      </c>
      <c r="D91" s="2" t="s">
        <v>60</v>
      </c>
    </row>
    <row r="92" spans="1:4" ht="27.4" customHeight="1">
      <c r="A92" s="2" t="s">
        <v>147</v>
      </c>
      <c r="B92" s="9">
        <v>45677</v>
      </c>
      <c r="C92" s="5">
        <v>3.5000000000000002E+24</v>
      </c>
      <c r="D92" s="2" t="s">
        <v>60</v>
      </c>
    </row>
    <row r="93" spans="1:4" ht="27.4" customHeight="1">
      <c r="A93" s="2" t="s">
        <v>148</v>
      </c>
      <c r="B93" s="9">
        <v>45706</v>
      </c>
      <c r="C93" s="5">
        <v>6.2400000000000003E+23</v>
      </c>
      <c r="D93" s="2" t="s">
        <v>60</v>
      </c>
    </row>
    <row r="94" spans="1:4" ht="27.4" customHeight="1">
      <c r="A94" s="2" t="s">
        <v>149</v>
      </c>
      <c r="B94" s="9">
        <v>45707</v>
      </c>
      <c r="C94" s="5">
        <v>9.9407999999999999E+23</v>
      </c>
      <c r="D94" s="2" t="s">
        <v>60</v>
      </c>
    </row>
    <row r="95" spans="1:4" ht="27.4" customHeight="1">
      <c r="A95" s="2" t="s">
        <v>150</v>
      </c>
      <c r="B95" s="9">
        <v>45707</v>
      </c>
      <c r="C95" s="5">
        <v>9.5712E+24</v>
      </c>
      <c r="D95" s="2" t="s">
        <v>60</v>
      </c>
    </row>
    <row r="96" spans="1:4" ht="27.4" customHeight="1">
      <c r="A96" s="2" t="s">
        <v>151</v>
      </c>
      <c r="B96" s="9">
        <v>45712</v>
      </c>
      <c r="C96" s="5">
        <v>4.1015807999999999E+24</v>
      </c>
      <c r="D96" s="2" t="s">
        <v>60</v>
      </c>
    </row>
    <row r="97" spans="1:4" ht="27.4" customHeight="1">
      <c r="A97" s="2" t="s">
        <v>152</v>
      </c>
      <c r="B97" s="9">
        <v>45713</v>
      </c>
      <c r="C97" s="5">
        <v>2.5E+23</v>
      </c>
      <c r="D97" s="2" t="s">
        <v>60</v>
      </c>
    </row>
    <row r="98" spans="1:4" ht="27.4" customHeight="1">
      <c r="A98" s="2" t="s">
        <v>153</v>
      </c>
      <c r="B98" s="9">
        <v>45726</v>
      </c>
      <c r="C98" s="5">
        <v>1.5552000000000001E+24</v>
      </c>
      <c r="D98" s="2" t="s">
        <v>60</v>
      </c>
    </row>
    <row r="99" spans="1:4" ht="27.4" customHeight="1">
      <c r="A99" s="2" t="s">
        <v>154</v>
      </c>
      <c r="B99" s="9">
        <v>45726</v>
      </c>
      <c r="C99" s="5">
        <v>1.485E+23</v>
      </c>
      <c r="D99" s="2" t="s">
        <v>60</v>
      </c>
    </row>
    <row r="100" spans="1:4" ht="27.4" customHeight="1">
      <c r="A100" s="2" t="s">
        <v>155</v>
      </c>
      <c r="B100" s="9">
        <v>45727</v>
      </c>
      <c r="C100" s="5">
        <v>5.4E+24</v>
      </c>
      <c r="D100" s="2" t="s">
        <v>60</v>
      </c>
    </row>
    <row r="101" spans="1:4" ht="27.4" customHeight="1">
      <c r="A101" s="2" t="s">
        <v>156</v>
      </c>
      <c r="B101" s="9">
        <v>45740</v>
      </c>
      <c r="C101" s="5">
        <v>3.2999999999999999E+24</v>
      </c>
      <c r="D101" s="2" t="s">
        <v>60</v>
      </c>
    </row>
    <row r="102" spans="1:4" ht="27.4" customHeight="1">
      <c r="A102" s="2" t="s">
        <v>157</v>
      </c>
      <c r="B102" s="9">
        <v>45757</v>
      </c>
      <c r="C102" s="5">
        <v>1.0692E+25</v>
      </c>
      <c r="D102" s="2" t="s">
        <v>60</v>
      </c>
    </row>
    <row r="103" spans="1:4" ht="27.4" customHeight="1">
      <c r="A103" s="2" t="s">
        <v>158</v>
      </c>
      <c r="B103" s="9">
        <v>45758</v>
      </c>
      <c r="C103" s="5">
        <v>9.0007697000000006E+23</v>
      </c>
      <c r="D103" s="2" t="s">
        <v>60</v>
      </c>
    </row>
    <row r="104" spans="1:4" ht="27.4" customHeight="1">
      <c r="A104" s="2" t="s">
        <v>159</v>
      </c>
      <c r="B104" s="9">
        <v>45761</v>
      </c>
      <c r="C104" s="5">
        <v>2.8799999999999999E+24</v>
      </c>
      <c r="D104" s="2" t="s">
        <v>60</v>
      </c>
    </row>
    <row r="105" spans="1:4" ht="27.4" customHeight="1">
      <c r="A105" s="2" t="s">
        <v>160</v>
      </c>
      <c r="B105" s="9">
        <v>45761</v>
      </c>
      <c r="C105" s="5">
        <v>8.1000000000000003E+23</v>
      </c>
      <c r="D105" s="2" t="s">
        <v>60</v>
      </c>
    </row>
    <row r="106" spans="1:4" ht="27.4" customHeight="1">
      <c r="A106" s="2" t="s">
        <v>161</v>
      </c>
      <c r="B106" s="9">
        <v>45761</v>
      </c>
      <c r="C106" s="5">
        <v>2.8799999999999999E+24</v>
      </c>
      <c r="D106" s="2" t="s">
        <v>60</v>
      </c>
    </row>
    <row r="107" spans="1:4" ht="27.4" customHeight="1">
      <c r="A107" s="2" t="s">
        <v>162</v>
      </c>
      <c r="B107" s="9">
        <v>45776</v>
      </c>
      <c r="C107" s="5">
        <v>1.7711999999999999E+24</v>
      </c>
      <c r="D107" s="2" t="s">
        <v>60</v>
      </c>
    </row>
    <row r="108" spans="1:4" ht="27.4" customHeight="1">
      <c r="A108" s="2" t="s">
        <v>163</v>
      </c>
      <c r="B108" s="9">
        <v>45776</v>
      </c>
      <c r="C108" s="5">
        <v>8.6400000000000007E+23</v>
      </c>
      <c r="D108" s="2" t="s">
        <v>60</v>
      </c>
    </row>
    <row r="109" spans="1:4" ht="27.4" customHeight="1">
      <c r="A109" s="2" t="s">
        <v>164</v>
      </c>
      <c r="B109" s="9">
        <v>45776</v>
      </c>
      <c r="C109" s="5">
        <v>7.0847999999999998E+24</v>
      </c>
      <c r="D109" s="2" t="s">
        <v>60</v>
      </c>
    </row>
    <row r="110" spans="1:4" ht="27.4" customHeight="1">
      <c r="A110" s="2" t="s">
        <v>165</v>
      </c>
      <c r="B110" s="9">
        <v>45776</v>
      </c>
      <c r="C110" s="5">
        <v>6.4800000000000005E+23</v>
      </c>
      <c r="D110" s="2" t="s">
        <v>60</v>
      </c>
    </row>
    <row r="111" spans="1:4" ht="27.4" customHeight="1">
      <c r="A111" s="2" t="s">
        <v>166</v>
      </c>
      <c r="B111" s="9">
        <v>45776</v>
      </c>
      <c r="C111" s="5">
        <v>4.7520000000000001E+24</v>
      </c>
      <c r="D111" s="2" t="s">
        <v>60</v>
      </c>
    </row>
    <row r="112" spans="1:4" ht="27.4" customHeight="1">
      <c r="A112" s="2" t="s">
        <v>167</v>
      </c>
      <c r="B112" s="9">
        <v>45776</v>
      </c>
      <c r="C112" s="5">
        <v>3.1967999999999998E+24</v>
      </c>
      <c r="D112" s="2" t="s">
        <v>60</v>
      </c>
    </row>
    <row r="113" spans="1:4" ht="27.4" customHeight="1">
      <c r="A113" s="2" t="s">
        <v>168</v>
      </c>
      <c r="B113" s="9">
        <v>45776</v>
      </c>
      <c r="C113" s="5">
        <v>3.6719999999999997E+23</v>
      </c>
      <c r="D113" s="2" t="s">
        <v>60</v>
      </c>
    </row>
    <row r="114" spans="1:4" ht="27.4" customHeight="1">
      <c r="A114" s="2" t="s">
        <v>169</v>
      </c>
      <c r="B114" s="9">
        <v>45776</v>
      </c>
      <c r="C114" s="5">
        <v>1.296E+23</v>
      </c>
      <c r="D114" s="2" t="s">
        <v>60</v>
      </c>
    </row>
    <row r="115" spans="1:4" ht="27.4" customHeight="1">
      <c r="A115" s="2" t="s">
        <v>170</v>
      </c>
      <c r="B115" s="9">
        <v>45784</v>
      </c>
      <c r="C115" s="5">
        <v>3.0888E+24</v>
      </c>
      <c r="D115" s="2" t="s">
        <v>60</v>
      </c>
    </row>
    <row r="116" spans="1:4" ht="27.4" customHeight="1">
      <c r="A116" s="2" t="s">
        <v>171</v>
      </c>
      <c r="B116" s="9">
        <v>45788</v>
      </c>
      <c r="C116" s="5">
        <v>1.3885560000000001E+24</v>
      </c>
      <c r="D116" s="2" t="s">
        <v>60</v>
      </c>
    </row>
    <row r="117" spans="1:4" ht="27.4" customHeight="1">
      <c r="A117" s="2" t="s">
        <v>172</v>
      </c>
      <c r="B117" s="9">
        <v>45798</v>
      </c>
      <c r="C117" s="5">
        <v>3.6719999999999999E+24</v>
      </c>
      <c r="D117" s="2" t="s">
        <v>60</v>
      </c>
    </row>
    <row r="118" spans="1:4" ht="27.4" customHeight="1">
      <c r="A118" s="2" t="s">
        <v>173</v>
      </c>
      <c r="B118" s="9">
        <v>45805</v>
      </c>
      <c r="C118" s="5">
        <v>1.2869999999999999E+24</v>
      </c>
      <c r="D118" s="2" t="s">
        <v>60</v>
      </c>
    </row>
    <row r="119" spans="1:4" ht="27.4" customHeight="1">
      <c r="A119" s="2" t="s">
        <v>174</v>
      </c>
      <c r="B119" s="9">
        <v>45805</v>
      </c>
      <c r="C119" s="5">
        <v>4.0200100000000002E+24</v>
      </c>
      <c r="D119" s="2" t="s">
        <v>60</v>
      </c>
    </row>
    <row r="120" spans="1:4" ht="27.4" customHeight="1">
      <c r="A120" s="2" t="s">
        <v>175</v>
      </c>
      <c r="B120" s="9">
        <v>45812</v>
      </c>
      <c r="C120" s="5">
        <v>1.1507999999999999E+24</v>
      </c>
      <c r="D120" s="2" t="s">
        <v>60</v>
      </c>
    </row>
    <row r="121" spans="1:4" ht="27.4" customHeight="1">
      <c r="A121" s="2" t="s">
        <v>176</v>
      </c>
      <c r="B121" s="9">
        <v>45813</v>
      </c>
      <c r="C121" s="5">
        <v>1.0500000000000001E+24</v>
      </c>
      <c r="D121" s="2" t="s">
        <v>60</v>
      </c>
    </row>
    <row r="122" spans="1:4" ht="27.4" customHeight="1">
      <c r="A122" s="2" t="s">
        <v>177</v>
      </c>
      <c r="B122" s="9">
        <v>45821</v>
      </c>
      <c r="C122" s="5">
        <v>4.3240061999999998E+24</v>
      </c>
      <c r="D122" s="2" t="s">
        <v>60</v>
      </c>
    </row>
    <row r="123" spans="1:4" ht="27.4" customHeight="1">
      <c r="A123" s="2" t="s">
        <v>178</v>
      </c>
      <c r="B123" s="9">
        <v>45821</v>
      </c>
      <c r="C123" s="5">
        <v>4.1861931000000002E+24</v>
      </c>
      <c r="D123" s="2" t="s">
        <v>60</v>
      </c>
    </row>
    <row r="124" spans="1:4" ht="27.4" customHeight="1">
      <c r="A124" s="2" t="s">
        <v>179</v>
      </c>
      <c r="B124" s="9">
        <v>45837</v>
      </c>
      <c r="C124" s="5">
        <v>2.8200000000000001E+24</v>
      </c>
      <c r="D124" s="2" t="s">
        <v>60</v>
      </c>
    </row>
    <row r="125" spans="1:4" ht="27.4" customHeight="1">
      <c r="A125" s="2" t="s">
        <v>180</v>
      </c>
      <c r="B125" s="9">
        <v>45837</v>
      </c>
      <c r="C125" s="5">
        <v>1.7999999999999999E+23</v>
      </c>
      <c r="D125" s="2" t="s">
        <v>60</v>
      </c>
    </row>
    <row r="126" spans="1:4" ht="27.4" customHeight="1">
      <c r="A126" s="2" t="s">
        <v>181</v>
      </c>
      <c r="B126" s="9">
        <v>45844</v>
      </c>
      <c r="C126" s="5">
        <v>1.2164856000000001E+24</v>
      </c>
      <c r="D126" s="2" t="s">
        <v>60</v>
      </c>
    </row>
    <row r="127" spans="1:4" ht="27.4" customHeight="1">
      <c r="A127" s="2" t="s">
        <v>182</v>
      </c>
      <c r="B127" s="9">
        <v>45849</v>
      </c>
      <c r="C127" s="5">
        <v>2.9759999999999999E+24</v>
      </c>
      <c r="D127" s="2" t="s">
        <v>60</v>
      </c>
    </row>
    <row r="128" spans="1:4" ht="27.4" customHeight="1">
      <c r="A128" s="2" t="s">
        <v>183</v>
      </c>
      <c r="B128" s="9">
        <v>45853</v>
      </c>
      <c r="C128" s="5">
        <v>2.69000000000001E+24</v>
      </c>
      <c r="D128" s="2" t="s">
        <v>60</v>
      </c>
    </row>
    <row r="129" spans="1:4" ht="27.4" customHeight="1">
      <c r="A129" s="2" t="s">
        <v>184</v>
      </c>
      <c r="B129" s="9">
        <v>45860</v>
      </c>
      <c r="C129" s="5">
        <v>1.5750000000000001E+24</v>
      </c>
      <c r="D129" s="2" t="s">
        <v>60</v>
      </c>
    </row>
    <row r="130" spans="1:4" ht="27.4" customHeight="1">
      <c r="A130" s="2" t="s">
        <v>185</v>
      </c>
      <c r="B130" s="9">
        <v>45863</v>
      </c>
      <c r="C130" s="5">
        <v>4.7520000000000001E+24</v>
      </c>
      <c r="D130" s="2" t="s">
        <v>60</v>
      </c>
    </row>
    <row r="131" spans="1:4" ht="27.4" customHeight="1">
      <c r="A131" s="2" t="s">
        <v>186</v>
      </c>
      <c r="B131" s="9">
        <v>45863</v>
      </c>
      <c r="C131" s="5">
        <v>4.7520000000000001E+24</v>
      </c>
      <c r="D131" s="2" t="s">
        <v>60</v>
      </c>
    </row>
    <row r="132" spans="1:4" ht="27.4" customHeight="1">
      <c r="A132" s="2" t="s">
        <v>187</v>
      </c>
      <c r="B132" s="9">
        <v>45866</v>
      </c>
      <c r="C132" s="5">
        <v>4.2000000000000003E+23</v>
      </c>
      <c r="D132" s="2" t="s">
        <v>60</v>
      </c>
    </row>
    <row r="133" spans="1:4" ht="27.4" customHeight="1">
      <c r="A133" s="2" t="s">
        <v>188</v>
      </c>
      <c r="B133" s="9">
        <v>45870</v>
      </c>
      <c r="C133" s="5">
        <v>2.9499999999999999E+23</v>
      </c>
      <c r="D133" s="2" t="s">
        <v>60</v>
      </c>
    </row>
    <row r="134" spans="1:4" ht="27.4" customHeight="1">
      <c r="A134" s="2" t="s">
        <v>189</v>
      </c>
      <c r="B134" s="9">
        <v>45874</v>
      </c>
      <c r="C134" s="5">
        <v>1.6560000000000001E+24</v>
      </c>
      <c r="D134" s="2" t="s">
        <v>60</v>
      </c>
    </row>
    <row r="135" spans="1:4" ht="27.4" customHeight="1">
      <c r="A135" s="2" t="s">
        <v>190</v>
      </c>
      <c r="B135" s="9">
        <v>45874</v>
      </c>
      <c r="C135" s="5">
        <v>4.42E+24</v>
      </c>
      <c r="D135" s="2" t="s">
        <v>60</v>
      </c>
    </row>
    <row r="136" spans="1:4" ht="27.4" customHeight="1">
      <c r="A136" s="2" t="s">
        <v>191</v>
      </c>
      <c r="B136" s="9">
        <v>45884</v>
      </c>
      <c r="C136" s="5">
        <v>1.7999999999999999E+24</v>
      </c>
      <c r="D136" s="2" t="s">
        <v>60</v>
      </c>
    </row>
    <row r="137" spans="1:4" ht="27.4" customHeight="1">
      <c r="A137" s="2" t="s">
        <v>192</v>
      </c>
      <c r="B137" s="9">
        <v>45884</v>
      </c>
      <c r="C137" s="5">
        <v>9.1799999999999997E+23</v>
      </c>
      <c r="D137" s="2" t="s">
        <v>60</v>
      </c>
    </row>
    <row r="138" spans="1:4" ht="27.4" customHeight="1">
      <c r="A138" s="2" t="s">
        <v>193</v>
      </c>
      <c r="B138" s="9">
        <v>45890</v>
      </c>
      <c r="C138" s="5">
        <v>2.5920000000000002E+24</v>
      </c>
      <c r="D138" s="2" t="s">
        <v>60</v>
      </c>
    </row>
    <row r="139" spans="1:4" ht="27.4" customHeight="1">
      <c r="A139" s="2" t="s">
        <v>194</v>
      </c>
      <c r="B139" s="9">
        <v>45890</v>
      </c>
      <c r="C139" s="5">
        <v>3.594058E+24</v>
      </c>
      <c r="D139" s="2" t="s">
        <v>60</v>
      </c>
    </row>
    <row r="140" spans="1:4" ht="27.4" customHeight="1">
      <c r="A140" s="2" t="s">
        <v>195</v>
      </c>
      <c r="B140" s="9">
        <v>45901</v>
      </c>
      <c r="C140" s="5">
        <v>3.7260000000000001E+24</v>
      </c>
      <c r="D140" s="2" t="s">
        <v>60</v>
      </c>
    </row>
    <row r="141" spans="1:4" ht="27.4" customHeight="1">
      <c r="A141" s="2" t="s">
        <v>196</v>
      </c>
      <c r="B141" s="9">
        <v>45905</v>
      </c>
      <c r="C141" s="5">
        <v>1.5120000000000001E+25</v>
      </c>
      <c r="D141" s="2" t="s">
        <v>60</v>
      </c>
    </row>
    <row r="142" spans="1:4" ht="27.4" customHeight="1">
      <c r="A142" s="2" t="s">
        <v>197</v>
      </c>
      <c r="B142" s="9">
        <v>45910</v>
      </c>
      <c r="C142" s="5">
        <v>2.6999999999999999E+23</v>
      </c>
      <c r="D142" s="2" t="s">
        <v>60</v>
      </c>
    </row>
    <row r="143" spans="1:4" ht="27.4" customHeight="1">
      <c r="A143" s="2" t="s">
        <v>198</v>
      </c>
      <c r="B143" s="9">
        <v>45910</v>
      </c>
      <c r="C143" s="5">
        <v>1.6799999999999998E+23</v>
      </c>
      <c r="D143" s="2" t="s">
        <v>60</v>
      </c>
    </row>
    <row r="144" spans="1:4" ht="27.4" customHeight="1">
      <c r="A144" s="2" t="s">
        <v>199</v>
      </c>
      <c r="B144" s="9">
        <v>45910</v>
      </c>
      <c r="C144" s="5">
        <v>7.3199999999999997E+23</v>
      </c>
      <c r="D144" s="2" t="s">
        <v>60</v>
      </c>
    </row>
    <row r="145" spans="1:4" ht="27.4" customHeight="1">
      <c r="A145" s="2" t="s">
        <v>200</v>
      </c>
      <c r="B145" s="9">
        <v>45922</v>
      </c>
      <c r="C145" s="5">
        <v>3.594058E+24</v>
      </c>
      <c r="D145" s="2" t="s">
        <v>60</v>
      </c>
    </row>
    <row r="146" spans="1:4" ht="27.4" customHeight="1">
      <c r="A146" s="2" t="s">
        <v>201</v>
      </c>
      <c r="B146" s="9">
        <v>45929</v>
      </c>
      <c r="C146" s="5">
        <v>4.1799999999999998E+24</v>
      </c>
      <c r="D146" s="2" t="s">
        <v>60</v>
      </c>
    </row>
    <row r="147" spans="1:4" ht="27.4" customHeight="1">
      <c r="A147" s="2" t="s">
        <v>202</v>
      </c>
      <c r="B147" s="9">
        <v>45930</v>
      </c>
      <c r="C147" s="5">
        <v>4.42E+24</v>
      </c>
      <c r="D147" s="2" t="s">
        <v>60</v>
      </c>
    </row>
    <row r="148" spans="1:4" ht="27.4" customHeight="1">
      <c r="A148" s="2" t="s">
        <v>203</v>
      </c>
      <c r="B148" s="9">
        <v>45940</v>
      </c>
      <c r="C148" s="5">
        <v>6.0000010000000003E+24</v>
      </c>
      <c r="D148" s="2" t="s">
        <v>60</v>
      </c>
    </row>
    <row r="149" spans="1:4" ht="27.4" customHeight="1">
      <c r="A149" s="2" t="s">
        <v>204</v>
      </c>
      <c r="B149" s="9">
        <v>45960</v>
      </c>
      <c r="C149" s="5">
        <v>1.026E+23</v>
      </c>
      <c r="D149" s="2" t="s">
        <v>60</v>
      </c>
    </row>
    <row r="150" spans="1:4" ht="27.4" customHeight="1">
      <c r="A150" s="2" t="s">
        <v>205</v>
      </c>
      <c r="B150" s="9">
        <v>45960</v>
      </c>
      <c r="C150" s="5">
        <v>9.8673599999999999E+24</v>
      </c>
      <c r="D150" s="2" t="s">
        <v>60</v>
      </c>
    </row>
    <row r="151" spans="1:4" ht="27.4" customHeight="1">
      <c r="A151" s="2" t="s">
        <v>206</v>
      </c>
      <c r="B151" s="9">
        <v>46022</v>
      </c>
      <c r="C151" s="5">
        <v>1.5199999999999999E+24</v>
      </c>
      <c r="D151" s="2" t="s">
        <v>60</v>
      </c>
    </row>
    <row r="152" spans="1:4" ht="27.4" customHeight="1">
      <c r="A152" s="2" t="s">
        <v>207</v>
      </c>
      <c r="B152" s="9">
        <v>43768</v>
      </c>
      <c r="C152" s="5">
        <v>1.0773400001E+23</v>
      </c>
      <c r="D152" s="2" t="s">
        <v>208</v>
      </c>
    </row>
    <row r="153" spans="1:4" ht="27.4" customHeight="1">
      <c r="A153" s="2" t="s">
        <v>209</v>
      </c>
      <c r="B153" s="9">
        <v>44538</v>
      </c>
      <c r="C153" s="5">
        <v>6.3100000000000006E+23</v>
      </c>
      <c r="D153" s="2" t="s">
        <v>208</v>
      </c>
    </row>
    <row r="154" spans="1:4" ht="27.4" customHeight="1">
      <c r="A154" s="2" t="s">
        <v>210</v>
      </c>
      <c r="B154" s="9">
        <v>44594</v>
      </c>
      <c r="C154" s="5">
        <v>2.38010000000001E+23</v>
      </c>
      <c r="D154" s="2" t="s">
        <v>208</v>
      </c>
    </row>
    <row r="155" spans="1:4" ht="27.4" customHeight="1">
      <c r="A155" s="2" t="s">
        <v>211</v>
      </c>
      <c r="B155" s="9">
        <v>44649</v>
      </c>
      <c r="C155" s="5">
        <v>5.76E+23</v>
      </c>
      <c r="D155" s="2" t="s">
        <v>208</v>
      </c>
    </row>
    <row r="156" spans="1:4" ht="27.4" customHeight="1">
      <c r="A156" s="2" t="s">
        <v>212</v>
      </c>
      <c r="B156" s="9">
        <v>44735</v>
      </c>
      <c r="C156" s="5">
        <v>2.2000000000000001E+23</v>
      </c>
      <c r="D156" s="2" t="s">
        <v>208</v>
      </c>
    </row>
    <row r="157" spans="1:4" ht="27.4" customHeight="1">
      <c r="A157" s="2" t="s">
        <v>213</v>
      </c>
      <c r="B157" s="9">
        <v>44788</v>
      </c>
      <c r="C157" s="5">
        <v>3.5460999999999997E+23</v>
      </c>
      <c r="D157" s="2" t="s">
        <v>208</v>
      </c>
    </row>
    <row r="158" spans="1:4" ht="27.4" customHeight="1">
      <c r="A158" s="2" t="s">
        <v>214</v>
      </c>
      <c r="B158" s="9">
        <v>44788</v>
      </c>
      <c r="C158" s="5">
        <v>1.0019457E+23</v>
      </c>
      <c r="D158" s="2" t="s">
        <v>208</v>
      </c>
    </row>
    <row r="159" spans="1:4" ht="27.4" customHeight="1">
      <c r="A159" s="2" t="s">
        <v>215</v>
      </c>
      <c r="B159" s="9">
        <v>45006</v>
      </c>
      <c r="C159" s="5">
        <v>2.4E+23</v>
      </c>
      <c r="D159" s="2" t="s">
        <v>208</v>
      </c>
    </row>
    <row r="160" spans="1:4" ht="27.4" customHeight="1">
      <c r="A160" s="2" t="s">
        <v>216</v>
      </c>
      <c r="B160" s="9">
        <v>45040</v>
      </c>
      <c r="C160" s="5">
        <v>1.0699776E+23</v>
      </c>
      <c r="D160" s="2" t="s">
        <v>208</v>
      </c>
    </row>
    <row r="161" spans="1:4" ht="27.4" customHeight="1">
      <c r="A161" s="2" t="s">
        <v>217</v>
      </c>
      <c r="B161" s="9">
        <v>45271</v>
      </c>
      <c r="C161" s="5">
        <v>7.74E+23</v>
      </c>
      <c r="D161" s="2" t="s">
        <v>208</v>
      </c>
    </row>
    <row r="162" spans="1:4" ht="27.4" customHeight="1">
      <c r="A162" s="2" t="s">
        <v>218</v>
      </c>
      <c r="B162" s="9">
        <v>45274</v>
      </c>
      <c r="C162" s="5">
        <v>2.052E+23</v>
      </c>
      <c r="D162" s="2" t="s">
        <v>208</v>
      </c>
    </row>
    <row r="163" spans="1:4" ht="27.4" customHeight="1">
      <c r="A163" s="2" t="s">
        <v>219</v>
      </c>
      <c r="B163" s="9">
        <v>45348</v>
      </c>
      <c r="C163" s="5">
        <v>1.1200000000000001E+25</v>
      </c>
      <c r="D163" s="2" t="s">
        <v>208</v>
      </c>
    </row>
    <row r="164" spans="1:4" ht="27.4" customHeight="1">
      <c r="A164" s="2" t="s">
        <v>220</v>
      </c>
      <c r="B164" s="9">
        <v>45386</v>
      </c>
      <c r="C164" s="5">
        <v>2.5739999999999999E+23</v>
      </c>
      <c r="D164" s="2" t="s">
        <v>208</v>
      </c>
    </row>
    <row r="165" spans="1:4" ht="27.4" customHeight="1">
      <c r="A165" s="2" t="s">
        <v>221</v>
      </c>
      <c r="B165" s="9">
        <v>45390</v>
      </c>
      <c r="C165" s="5">
        <v>2.91E+23</v>
      </c>
      <c r="D165" s="2" t="s">
        <v>208</v>
      </c>
    </row>
    <row r="166" spans="1:4" ht="27.4" customHeight="1">
      <c r="A166" s="2" t="s">
        <v>222</v>
      </c>
      <c r="B166" s="9">
        <v>45399</v>
      </c>
      <c r="C166" s="5">
        <v>2.34E+24</v>
      </c>
      <c r="D166" s="2" t="s">
        <v>208</v>
      </c>
    </row>
    <row r="167" spans="1:4" ht="27.4" customHeight="1">
      <c r="A167" s="2" t="s">
        <v>223</v>
      </c>
      <c r="B167" s="9">
        <v>45497</v>
      </c>
      <c r="C167" s="5">
        <v>2.13E+25</v>
      </c>
      <c r="D167" s="2" t="s">
        <v>208</v>
      </c>
    </row>
    <row r="168" spans="1:4" ht="27.4" customHeight="1">
      <c r="A168" s="2" t="s">
        <v>224</v>
      </c>
      <c r="B168" s="9">
        <v>45530</v>
      </c>
      <c r="C168" s="5">
        <v>4.4300000000000002E+23</v>
      </c>
      <c r="D168" s="2" t="s">
        <v>208</v>
      </c>
    </row>
    <row r="169" spans="1:4" ht="27.4" customHeight="1">
      <c r="A169" s="2" t="s">
        <v>225</v>
      </c>
      <c r="B169" s="9">
        <v>45713</v>
      </c>
      <c r="C169" s="5">
        <v>7.3535999999999997E+23</v>
      </c>
      <c r="D169" s="2" t="s">
        <v>208</v>
      </c>
    </row>
    <row r="170" spans="1:4" ht="27.4" customHeight="1">
      <c r="A170" s="2" t="s">
        <v>226</v>
      </c>
      <c r="B170" s="9">
        <v>45770</v>
      </c>
      <c r="C170" s="5">
        <v>4.3599999999999999E+23</v>
      </c>
      <c r="D170" s="2" t="s">
        <v>208</v>
      </c>
    </row>
    <row r="171" spans="1:4" ht="27.4" customHeight="1">
      <c r="A171" s="2" t="s">
        <v>227</v>
      </c>
      <c r="B171" s="9">
        <v>45890</v>
      </c>
      <c r="C171" s="5">
        <v>2.1444091999999998E+23</v>
      </c>
      <c r="D171" s="2" t="s">
        <v>208</v>
      </c>
    </row>
    <row r="172" spans="1:4" ht="27.4" customHeight="1">
      <c r="A172" s="2" t="s">
        <v>228</v>
      </c>
      <c r="B172" s="9">
        <v>45902</v>
      </c>
      <c r="C172" s="5">
        <v>6.7399999999999998E+24</v>
      </c>
      <c r="D172" s="2" t="s">
        <v>208</v>
      </c>
    </row>
    <row r="173" spans="1:4" ht="27.4" customHeight="1">
      <c r="A173" s="2" t="s">
        <v>229</v>
      </c>
      <c r="B173" s="9">
        <v>45955</v>
      </c>
      <c r="C173" s="5">
        <v>8.6400000000000007E+23</v>
      </c>
      <c r="D173" s="2" t="s">
        <v>208</v>
      </c>
    </row>
    <row r="174" spans="1:4" ht="27.4" customHeight="1">
      <c r="A174" s="2" t="s">
        <v>230</v>
      </c>
      <c r="B174" s="9">
        <v>43858</v>
      </c>
      <c r="C174" s="5">
        <v>1.12E+23</v>
      </c>
      <c r="D174" s="2" t="s">
        <v>231</v>
      </c>
    </row>
    <row r="175" spans="1:4" ht="27.4" customHeight="1">
      <c r="A175" s="2" t="s">
        <v>232</v>
      </c>
      <c r="B175" s="9">
        <v>43979</v>
      </c>
      <c r="C175" s="5">
        <v>3.14E+23</v>
      </c>
      <c r="D175" s="2" t="s">
        <v>231</v>
      </c>
    </row>
    <row r="176" spans="1:4" ht="27.4" customHeight="1">
      <c r="A176" s="2" t="s">
        <v>233</v>
      </c>
      <c r="B176" s="9">
        <v>44480</v>
      </c>
      <c r="C176" s="5">
        <v>8.5860000000000002E+23</v>
      </c>
      <c r="D176" s="2" t="s">
        <v>231</v>
      </c>
    </row>
    <row r="177" spans="1:4" ht="27.4" customHeight="1">
      <c r="A177" s="2" t="s">
        <v>234</v>
      </c>
      <c r="B177" s="9">
        <v>44543</v>
      </c>
      <c r="C177" s="5">
        <v>3.6363112434E+23</v>
      </c>
      <c r="D177" s="2" t="s">
        <v>231</v>
      </c>
    </row>
    <row r="178" spans="1:4" ht="27.4" customHeight="1">
      <c r="A178" s="2" t="s">
        <v>235</v>
      </c>
      <c r="B178" s="9">
        <v>44602</v>
      </c>
      <c r="C178" s="5">
        <v>3.55E+23</v>
      </c>
      <c r="D178" s="2" t="s">
        <v>231</v>
      </c>
    </row>
    <row r="179" spans="1:4" ht="27.4" customHeight="1">
      <c r="A179" s="2" t="s">
        <v>236</v>
      </c>
      <c r="B179" s="9">
        <v>44609</v>
      </c>
      <c r="C179" s="5">
        <v>2.9000000000000001E+23</v>
      </c>
      <c r="D179" s="2" t="s">
        <v>231</v>
      </c>
    </row>
    <row r="180" spans="1:4" ht="27.4" customHeight="1">
      <c r="A180" s="2" t="s">
        <v>237</v>
      </c>
      <c r="B180" s="9">
        <v>44635</v>
      </c>
      <c r="C180" s="5">
        <v>2.5779999999999999E+24</v>
      </c>
      <c r="D180" s="2" t="s">
        <v>231</v>
      </c>
    </row>
    <row r="181" spans="1:4" ht="27.4" customHeight="1">
      <c r="A181" s="2" t="s">
        <v>238</v>
      </c>
      <c r="B181" s="9">
        <v>44655</v>
      </c>
      <c r="C181" s="5">
        <v>2.5272000000000002E+24</v>
      </c>
      <c r="D181" s="2" t="s">
        <v>231</v>
      </c>
    </row>
    <row r="182" spans="1:4" ht="27.4" customHeight="1">
      <c r="A182" s="2" t="s">
        <v>239</v>
      </c>
      <c r="B182" s="9">
        <v>44657</v>
      </c>
      <c r="C182" s="5">
        <v>3.3695784000000003E+23</v>
      </c>
      <c r="D182" s="2" t="s">
        <v>231</v>
      </c>
    </row>
    <row r="183" spans="1:4" ht="27.4" customHeight="1">
      <c r="A183" s="2" t="s">
        <v>240</v>
      </c>
      <c r="B183" s="9">
        <v>44683</v>
      </c>
      <c r="C183" s="5">
        <v>4.2999999999999999E+23</v>
      </c>
      <c r="D183" s="2" t="s">
        <v>231</v>
      </c>
    </row>
    <row r="184" spans="1:4" ht="27.4" customHeight="1">
      <c r="A184" s="2" t="s">
        <v>241</v>
      </c>
      <c r="B184" s="9">
        <v>44683</v>
      </c>
      <c r="C184" s="5">
        <v>3.5300000000000002E+23</v>
      </c>
      <c r="D184" s="2" t="s">
        <v>231</v>
      </c>
    </row>
    <row r="185" spans="1:4" ht="27.4" customHeight="1">
      <c r="A185" s="2" t="s">
        <v>242</v>
      </c>
      <c r="B185" s="9">
        <v>44691</v>
      </c>
      <c r="C185" s="5">
        <v>1.2E+23</v>
      </c>
      <c r="D185" s="2" t="s">
        <v>231</v>
      </c>
    </row>
    <row r="186" spans="1:4" ht="27.4" customHeight="1">
      <c r="A186" s="2" t="s">
        <v>243</v>
      </c>
      <c r="B186" s="9">
        <v>44721</v>
      </c>
      <c r="C186" s="5">
        <v>5.6000000000000003E+23</v>
      </c>
      <c r="D186" s="2" t="s">
        <v>231</v>
      </c>
    </row>
    <row r="187" spans="1:4" ht="27.4" customHeight="1">
      <c r="A187" s="2" t="s">
        <v>244</v>
      </c>
      <c r="B187" s="9">
        <v>44733</v>
      </c>
      <c r="C187" s="5">
        <v>1.100000000001E+23</v>
      </c>
      <c r="D187" s="2" t="s">
        <v>231</v>
      </c>
    </row>
    <row r="188" spans="1:4" ht="27.4" customHeight="1">
      <c r="A188" s="2" t="s">
        <v>245</v>
      </c>
      <c r="B188" s="9">
        <v>44734</v>
      </c>
      <c r="C188" s="5">
        <v>5.09607936E+23</v>
      </c>
      <c r="D188" s="2" t="s">
        <v>231</v>
      </c>
    </row>
    <row r="189" spans="1:4" ht="27.4" customHeight="1">
      <c r="A189" s="2" t="s">
        <v>246</v>
      </c>
      <c r="B189" s="9">
        <v>44741</v>
      </c>
      <c r="C189" s="5">
        <v>2.7415000000000002E+24</v>
      </c>
      <c r="D189" s="2" t="s">
        <v>231</v>
      </c>
    </row>
    <row r="190" spans="1:4" ht="27.4" customHeight="1">
      <c r="A190" s="2" t="s">
        <v>247</v>
      </c>
      <c r="B190" s="9">
        <v>44753</v>
      </c>
      <c r="C190" s="5">
        <v>3.6566399999999997E+23</v>
      </c>
      <c r="D190" s="2" t="s">
        <v>231</v>
      </c>
    </row>
    <row r="191" spans="1:4" ht="27.4" customHeight="1">
      <c r="A191" s="2" t="s">
        <v>248</v>
      </c>
      <c r="B191" s="9">
        <v>44775</v>
      </c>
      <c r="C191" s="5">
        <v>2.04374016E+23</v>
      </c>
      <c r="D191" s="2" t="s">
        <v>231</v>
      </c>
    </row>
    <row r="192" spans="1:4" ht="27.4" customHeight="1">
      <c r="A192" s="2" t="s">
        <v>249</v>
      </c>
      <c r="B192" s="9">
        <v>44818</v>
      </c>
      <c r="C192" s="5">
        <v>1.6900000000000001E+23</v>
      </c>
      <c r="D192" s="2" t="s">
        <v>231</v>
      </c>
    </row>
    <row r="193" spans="1:4" ht="27.4" customHeight="1">
      <c r="A193" s="2" t="s">
        <v>250</v>
      </c>
      <c r="B193" s="9">
        <v>44881</v>
      </c>
      <c r="C193" s="5">
        <v>3.2400000000000003E+23</v>
      </c>
      <c r="D193" s="2" t="s">
        <v>231</v>
      </c>
    </row>
    <row r="194" spans="1:4" ht="27.4" customHeight="1">
      <c r="A194" s="2" t="s">
        <v>251</v>
      </c>
      <c r="B194" s="9">
        <v>44900</v>
      </c>
      <c r="C194" s="5">
        <v>1.1E+23</v>
      </c>
      <c r="D194" s="2" t="s">
        <v>231</v>
      </c>
    </row>
    <row r="195" spans="1:4" ht="27.4" customHeight="1">
      <c r="A195" s="2" t="s">
        <v>252</v>
      </c>
      <c r="B195" s="9">
        <v>44967</v>
      </c>
      <c r="C195" s="5">
        <v>1.9324800000000001E+23</v>
      </c>
      <c r="D195" s="2" t="s">
        <v>231</v>
      </c>
    </row>
    <row r="196" spans="1:4" ht="27.4" customHeight="1">
      <c r="A196" s="2" t="s">
        <v>253</v>
      </c>
      <c r="B196" s="9">
        <v>44981</v>
      </c>
      <c r="C196" s="5">
        <v>5.5E+23</v>
      </c>
      <c r="D196" s="2" t="s">
        <v>231</v>
      </c>
    </row>
    <row r="197" spans="1:4" ht="27.4" customHeight="1">
      <c r="A197" s="2" t="s">
        <v>254</v>
      </c>
      <c r="B197" s="9">
        <v>44984</v>
      </c>
      <c r="C197" s="5">
        <v>2.7300000000000999E+23</v>
      </c>
      <c r="D197" s="2" t="s">
        <v>231</v>
      </c>
    </row>
    <row r="198" spans="1:4" ht="27.4" customHeight="1">
      <c r="A198" s="2" t="s">
        <v>255</v>
      </c>
      <c r="B198" s="9">
        <v>45000</v>
      </c>
      <c r="C198" s="5">
        <v>2.0999999999999999E+25</v>
      </c>
      <c r="D198" s="2" t="s">
        <v>231</v>
      </c>
    </row>
    <row r="199" spans="1:4" ht="27.4" customHeight="1">
      <c r="A199" s="2" t="s">
        <v>256</v>
      </c>
      <c r="B199" s="9">
        <v>45015</v>
      </c>
      <c r="C199" s="5">
        <v>2.3600000000000001E+23</v>
      </c>
      <c r="D199" s="2" t="s">
        <v>231</v>
      </c>
    </row>
    <row r="200" spans="1:4" ht="27.4" customHeight="1">
      <c r="A200" s="2" t="s">
        <v>257</v>
      </c>
      <c r="B200" s="9">
        <v>45056</v>
      </c>
      <c r="C200" s="5">
        <v>7.3399999999999997E+24</v>
      </c>
      <c r="D200" s="2" t="s">
        <v>231</v>
      </c>
    </row>
    <row r="201" spans="1:4" ht="27.4" customHeight="1">
      <c r="A201" s="2" t="s">
        <v>258</v>
      </c>
      <c r="B201" s="9">
        <v>45099</v>
      </c>
      <c r="C201" s="5">
        <v>1.8900000000001E+23</v>
      </c>
      <c r="D201" s="2" t="s">
        <v>231</v>
      </c>
    </row>
    <row r="202" spans="1:4" ht="27.4" customHeight="1">
      <c r="A202" s="2" t="s">
        <v>259</v>
      </c>
      <c r="B202" s="9">
        <v>45100</v>
      </c>
      <c r="C202" s="5">
        <v>1.0001000000000001E+24</v>
      </c>
      <c r="D202" s="2" t="s">
        <v>231</v>
      </c>
    </row>
    <row r="203" spans="1:4" ht="27.4" customHeight="1">
      <c r="A203" s="2" t="s">
        <v>260</v>
      </c>
      <c r="B203" s="9">
        <v>45118</v>
      </c>
      <c r="C203" s="5">
        <v>3.8660000000000001E+24</v>
      </c>
      <c r="D203" s="2" t="s">
        <v>231</v>
      </c>
    </row>
    <row r="204" spans="1:4" ht="27.4" customHeight="1">
      <c r="A204" s="2" t="s">
        <v>261</v>
      </c>
      <c r="B204" s="9">
        <v>45125</v>
      </c>
      <c r="C204" s="5">
        <v>8.1000000000000003E+23</v>
      </c>
      <c r="D204" s="2" t="s">
        <v>231</v>
      </c>
    </row>
    <row r="205" spans="1:4" ht="27.4" customHeight="1">
      <c r="A205" s="2" t="s">
        <v>262</v>
      </c>
      <c r="B205" s="9">
        <v>45125</v>
      </c>
      <c r="C205" s="5">
        <v>4.0800000000000002E+23</v>
      </c>
      <c r="D205" s="2" t="s">
        <v>231</v>
      </c>
    </row>
    <row r="206" spans="1:4" ht="27.4" customHeight="1">
      <c r="A206" s="2" t="s">
        <v>263</v>
      </c>
      <c r="B206" s="9">
        <v>45125</v>
      </c>
      <c r="C206" s="5">
        <v>1.6E+23</v>
      </c>
      <c r="D206" s="2" t="s">
        <v>231</v>
      </c>
    </row>
    <row r="207" spans="1:4" ht="27.4" customHeight="1">
      <c r="A207" s="2" t="s">
        <v>264</v>
      </c>
      <c r="B207" s="9">
        <v>45152</v>
      </c>
      <c r="C207" s="5">
        <v>5.3000000000000001E+23</v>
      </c>
      <c r="D207" s="2" t="s">
        <v>231</v>
      </c>
    </row>
    <row r="208" spans="1:4" ht="27.4" customHeight="1">
      <c r="A208" s="2" t="s">
        <v>265</v>
      </c>
      <c r="B208" s="9">
        <v>45197</v>
      </c>
      <c r="C208" s="5">
        <v>4.8000000000000001E+24</v>
      </c>
      <c r="D208" s="2" t="s">
        <v>231</v>
      </c>
    </row>
    <row r="209" spans="1:4" ht="27.4" customHeight="1">
      <c r="A209" s="2" t="s">
        <v>266</v>
      </c>
      <c r="B209" s="9">
        <v>45234</v>
      </c>
      <c r="C209" s="5">
        <v>2.9000000000100001E+24</v>
      </c>
      <c r="D209" s="2" t="s">
        <v>231</v>
      </c>
    </row>
    <row r="210" spans="1:4" ht="27.4" customHeight="1">
      <c r="A210" s="2" t="s">
        <v>267</v>
      </c>
      <c r="B210" s="9">
        <v>45236</v>
      </c>
      <c r="C210" s="5">
        <v>2.6999999999999999E+23</v>
      </c>
      <c r="D210" s="2" t="s">
        <v>231</v>
      </c>
    </row>
    <row r="211" spans="1:4" ht="27.4" customHeight="1">
      <c r="A211" s="2" t="s">
        <v>268</v>
      </c>
      <c r="B211" s="9">
        <v>45238</v>
      </c>
      <c r="C211" s="5">
        <v>1.0372049000000001E+23</v>
      </c>
      <c r="D211" s="2" t="s">
        <v>231</v>
      </c>
    </row>
    <row r="212" spans="1:4" ht="27.4" customHeight="1">
      <c r="A212" s="2" t="s">
        <v>269</v>
      </c>
      <c r="B212" s="9">
        <v>45245</v>
      </c>
      <c r="C212" s="5">
        <v>1.7999999999999999E+23</v>
      </c>
      <c r="D212" s="2" t="s">
        <v>231</v>
      </c>
    </row>
    <row r="213" spans="1:4" ht="27.4" customHeight="1">
      <c r="A213" s="2" t="s">
        <v>270</v>
      </c>
      <c r="B213" s="9">
        <v>45252</v>
      </c>
      <c r="C213" s="5">
        <v>1.001E+25</v>
      </c>
      <c r="D213" s="2" t="s">
        <v>231</v>
      </c>
    </row>
    <row r="214" spans="1:4" ht="27.4" customHeight="1">
      <c r="A214" s="2" t="s">
        <v>271</v>
      </c>
      <c r="B214" s="9">
        <v>45260</v>
      </c>
      <c r="C214" s="5">
        <v>2.4399999999999999E+23</v>
      </c>
      <c r="D214" s="2" t="s">
        <v>231</v>
      </c>
    </row>
    <row r="215" spans="1:4" ht="27.4" customHeight="1">
      <c r="A215" s="2" t="s">
        <v>272</v>
      </c>
      <c r="B215" s="9">
        <v>45266</v>
      </c>
      <c r="C215" s="5">
        <v>5.0000000001E+25</v>
      </c>
      <c r="D215" s="2" t="s">
        <v>231</v>
      </c>
    </row>
    <row r="216" spans="1:4" ht="27.4" customHeight="1">
      <c r="A216" s="2" t="s">
        <v>273</v>
      </c>
      <c r="B216" s="9">
        <v>45320</v>
      </c>
      <c r="C216" s="5">
        <v>1.2600000000000001E+24</v>
      </c>
      <c r="D216" s="2" t="s">
        <v>231</v>
      </c>
    </row>
    <row r="217" spans="1:4" ht="27.4" customHeight="1">
      <c r="A217" s="2" t="s">
        <v>274</v>
      </c>
      <c r="B217" s="9">
        <v>45323</v>
      </c>
      <c r="C217" s="5">
        <v>1.0331999999999999E+23</v>
      </c>
      <c r="D217" s="2" t="s">
        <v>231</v>
      </c>
    </row>
    <row r="218" spans="1:4" ht="27.4" customHeight="1">
      <c r="A218" s="2" t="s">
        <v>275</v>
      </c>
      <c r="B218" s="9">
        <v>45343</v>
      </c>
      <c r="C218" s="5">
        <v>3.0699999999999997E+23</v>
      </c>
      <c r="D218" s="2" t="s">
        <v>231</v>
      </c>
    </row>
    <row r="219" spans="1:4" ht="27.4" customHeight="1">
      <c r="A219" s="2" t="s">
        <v>276</v>
      </c>
      <c r="B219" s="9">
        <v>45346</v>
      </c>
      <c r="C219" s="5">
        <v>3.0743999999999997E+23</v>
      </c>
      <c r="D219" s="2" t="s">
        <v>231</v>
      </c>
    </row>
    <row r="220" spans="1:4" ht="27.4" customHeight="1">
      <c r="A220" s="2" t="s">
        <v>277</v>
      </c>
      <c r="B220" s="9">
        <v>45349</v>
      </c>
      <c r="C220" s="5">
        <v>7.5005116000000004E+23</v>
      </c>
      <c r="D220" s="2" t="s">
        <v>231</v>
      </c>
    </row>
    <row r="221" spans="1:4" ht="27.4" customHeight="1">
      <c r="A221" s="2" t="s">
        <v>278</v>
      </c>
      <c r="B221" s="9">
        <v>45351</v>
      </c>
      <c r="C221" s="5">
        <v>1.5499999999999999E+23</v>
      </c>
      <c r="D221" s="2" t="s">
        <v>231</v>
      </c>
    </row>
    <row r="222" spans="1:4" ht="27.4" customHeight="1">
      <c r="A222" s="2" t="s">
        <v>279</v>
      </c>
      <c r="B222" s="9">
        <v>45351</v>
      </c>
      <c r="C222" s="5">
        <v>3.87E+23</v>
      </c>
      <c r="D222" s="2" t="s">
        <v>231</v>
      </c>
    </row>
    <row r="223" spans="1:4" ht="27.4" customHeight="1">
      <c r="A223" s="2" t="s">
        <v>280</v>
      </c>
      <c r="B223" s="9">
        <v>45358</v>
      </c>
      <c r="C223" s="5">
        <v>8.0000010000000003E+24</v>
      </c>
      <c r="D223" s="2" t="s">
        <v>231</v>
      </c>
    </row>
    <row r="224" spans="1:4" ht="27.4" customHeight="1">
      <c r="A224" s="2" t="s">
        <v>281</v>
      </c>
      <c r="B224" s="9">
        <v>45365</v>
      </c>
      <c r="C224" s="5">
        <v>4.86E+23</v>
      </c>
      <c r="D224" s="2" t="s">
        <v>231</v>
      </c>
    </row>
    <row r="225" spans="1:4" ht="27.4" customHeight="1">
      <c r="A225" s="2" t="s">
        <v>282</v>
      </c>
      <c r="B225" s="9">
        <v>45378</v>
      </c>
      <c r="C225" s="5">
        <v>2.5999999999999998E+24</v>
      </c>
      <c r="D225" s="2" t="s">
        <v>231</v>
      </c>
    </row>
    <row r="226" spans="1:4" ht="27.4" customHeight="1">
      <c r="A226" s="2" t="s">
        <v>283</v>
      </c>
      <c r="B226" s="9">
        <v>45379</v>
      </c>
      <c r="C226" s="5">
        <v>9.2599999999999999E+24</v>
      </c>
      <c r="D226" s="2" t="s">
        <v>231</v>
      </c>
    </row>
    <row r="227" spans="1:4" ht="27.4" customHeight="1">
      <c r="A227" s="2" t="s">
        <v>284</v>
      </c>
      <c r="B227" s="9">
        <v>45397</v>
      </c>
      <c r="C227" s="5">
        <v>6.3000000000000004E+23</v>
      </c>
      <c r="D227" s="2" t="s">
        <v>231</v>
      </c>
    </row>
    <row r="228" spans="1:4" ht="27.4" customHeight="1">
      <c r="A228" s="2" t="s">
        <v>285</v>
      </c>
      <c r="B228" s="9">
        <v>45397</v>
      </c>
      <c r="C228" s="5">
        <v>8.4000100000000003E+24</v>
      </c>
      <c r="D228" s="2" t="s">
        <v>231</v>
      </c>
    </row>
    <row r="229" spans="1:4" ht="27.4" customHeight="1">
      <c r="A229" s="2" t="s">
        <v>286</v>
      </c>
      <c r="B229" s="9">
        <v>45400</v>
      </c>
      <c r="C229" s="5">
        <v>1.89E+23</v>
      </c>
      <c r="D229" s="2" t="s">
        <v>231</v>
      </c>
    </row>
    <row r="230" spans="1:4" ht="27.4" customHeight="1">
      <c r="A230" s="2" t="s">
        <v>287</v>
      </c>
      <c r="B230" s="9">
        <v>45400</v>
      </c>
      <c r="C230" s="5">
        <v>7.1999999999999997E+23</v>
      </c>
      <c r="D230" s="2" t="s">
        <v>231</v>
      </c>
    </row>
    <row r="231" spans="1:4" ht="27.4" customHeight="1">
      <c r="A231" s="2" t="s">
        <v>288</v>
      </c>
      <c r="B231" s="9">
        <v>45400</v>
      </c>
      <c r="C231" s="5">
        <v>7.8610000000000004E+24</v>
      </c>
      <c r="D231" s="2" t="s">
        <v>231</v>
      </c>
    </row>
    <row r="232" spans="1:4" ht="27.4" customHeight="1">
      <c r="A232" s="2" t="s">
        <v>289</v>
      </c>
      <c r="B232" s="9">
        <v>45405</v>
      </c>
      <c r="C232" s="5">
        <v>2.1312E+23</v>
      </c>
      <c r="D232" s="2" t="s">
        <v>231</v>
      </c>
    </row>
    <row r="233" spans="1:4" ht="27.4" customHeight="1">
      <c r="A233" s="2" t="s">
        <v>290</v>
      </c>
      <c r="B233" s="9">
        <v>45405</v>
      </c>
      <c r="C233" s="5">
        <v>4.032E+23</v>
      </c>
      <c r="D233" s="2" t="s">
        <v>231</v>
      </c>
    </row>
    <row r="234" spans="1:4" ht="27.4" customHeight="1">
      <c r="A234" s="2" t="s">
        <v>291</v>
      </c>
      <c r="B234" s="9">
        <v>45405</v>
      </c>
      <c r="C234" s="5">
        <v>3.0202896E+23</v>
      </c>
      <c r="D234" s="2" t="s">
        <v>231</v>
      </c>
    </row>
    <row r="235" spans="1:4" ht="27.4" customHeight="1">
      <c r="A235" s="2" t="s">
        <v>292</v>
      </c>
      <c r="B235" s="9">
        <v>45406</v>
      </c>
      <c r="C235" s="5">
        <v>3.8347175E+23</v>
      </c>
      <c r="D235" s="2" t="s">
        <v>231</v>
      </c>
    </row>
    <row r="236" spans="1:4" ht="27.4" customHeight="1">
      <c r="A236" s="2" t="s">
        <v>293</v>
      </c>
      <c r="B236" s="9">
        <v>45412</v>
      </c>
      <c r="C236" s="5">
        <v>3.8410919999999999E+23</v>
      </c>
      <c r="D236" s="2" t="s">
        <v>231</v>
      </c>
    </row>
    <row r="237" spans="1:4" ht="27.4" customHeight="1">
      <c r="A237" s="2" t="s">
        <v>294</v>
      </c>
      <c r="B237" s="9">
        <v>45412</v>
      </c>
      <c r="C237" s="5">
        <v>1.5364368000000002E+23</v>
      </c>
      <c r="D237" s="2" t="s">
        <v>231</v>
      </c>
    </row>
    <row r="238" spans="1:4" ht="27.4" customHeight="1">
      <c r="A238" s="2" t="s">
        <v>295</v>
      </c>
      <c r="B238" s="9">
        <v>45428</v>
      </c>
      <c r="C238" s="5">
        <v>3.3399700602E+23</v>
      </c>
      <c r="D238" s="2" t="s">
        <v>231</v>
      </c>
    </row>
    <row r="239" spans="1:4" ht="27.4" customHeight="1">
      <c r="A239" s="2" t="s">
        <v>296</v>
      </c>
      <c r="B239" s="9">
        <v>45428</v>
      </c>
      <c r="C239" s="5">
        <v>1.6453571041000001E+24</v>
      </c>
      <c r="D239" s="2" t="s">
        <v>231</v>
      </c>
    </row>
    <row r="240" spans="1:4" ht="27.4" customHeight="1">
      <c r="A240" s="2" t="s">
        <v>297</v>
      </c>
      <c r="B240" s="9">
        <v>45443</v>
      </c>
      <c r="C240" s="5">
        <v>3.0000000000001001E+23</v>
      </c>
      <c r="D240" s="2" t="s">
        <v>231</v>
      </c>
    </row>
    <row r="241" spans="1:4" ht="27.4" customHeight="1">
      <c r="A241" s="2" t="s">
        <v>298</v>
      </c>
      <c r="B241" s="9">
        <v>45455</v>
      </c>
      <c r="C241" s="5">
        <v>1.8186000000000002E+23</v>
      </c>
      <c r="D241" s="2" t="s">
        <v>231</v>
      </c>
    </row>
    <row r="242" spans="1:4" ht="27.4" customHeight="1">
      <c r="A242" s="2" t="s">
        <v>299</v>
      </c>
      <c r="B242" s="9">
        <v>45457</v>
      </c>
      <c r="C242" s="5">
        <v>1.8000000000000001E+25</v>
      </c>
      <c r="D242" s="2" t="s">
        <v>231</v>
      </c>
    </row>
    <row r="243" spans="1:4" ht="27.4" customHeight="1">
      <c r="A243" s="2" t="s">
        <v>300</v>
      </c>
      <c r="B243" s="9">
        <v>45463</v>
      </c>
      <c r="C243" s="5">
        <v>2.7E+25</v>
      </c>
      <c r="D243" s="2" t="s">
        <v>231</v>
      </c>
    </row>
    <row r="244" spans="1:4" ht="27.4" customHeight="1">
      <c r="A244" s="2" t="s">
        <v>301</v>
      </c>
      <c r="B244" s="9">
        <v>45467</v>
      </c>
      <c r="C244" s="5">
        <v>4.3200000000000003E+23</v>
      </c>
      <c r="D244" s="2" t="s">
        <v>231</v>
      </c>
    </row>
    <row r="245" spans="1:4" ht="27.4" customHeight="1">
      <c r="A245" s="2" t="s">
        <v>302</v>
      </c>
      <c r="B245" s="9">
        <v>45467</v>
      </c>
      <c r="C245" s="5">
        <v>2.106E+24</v>
      </c>
      <c r="D245" s="2" t="s">
        <v>231</v>
      </c>
    </row>
    <row r="246" spans="1:4" ht="27.4" customHeight="1">
      <c r="A246" s="2" t="s">
        <v>303</v>
      </c>
      <c r="B246" s="9">
        <v>45468</v>
      </c>
      <c r="C246" s="5">
        <v>1.07E+24</v>
      </c>
      <c r="D246" s="2" t="s">
        <v>231</v>
      </c>
    </row>
    <row r="247" spans="1:4" ht="27.4" customHeight="1">
      <c r="A247" s="2" t="s">
        <v>304</v>
      </c>
      <c r="B247" s="9">
        <v>45483</v>
      </c>
      <c r="C247" s="5">
        <v>1.89E+23</v>
      </c>
      <c r="D247" s="2" t="s">
        <v>231</v>
      </c>
    </row>
    <row r="248" spans="1:4" ht="27.4" customHeight="1">
      <c r="A248" s="2" t="s">
        <v>305</v>
      </c>
      <c r="B248" s="9">
        <v>45493</v>
      </c>
      <c r="C248" s="5">
        <v>1.0500000000000001E+23</v>
      </c>
      <c r="D248" s="2" t="s">
        <v>231</v>
      </c>
    </row>
    <row r="249" spans="1:4" ht="27.4" customHeight="1">
      <c r="A249" s="2" t="s">
        <v>306</v>
      </c>
      <c r="B249" s="9">
        <v>45496</v>
      </c>
      <c r="C249" s="5">
        <v>1.2240000000000001E+24</v>
      </c>
      <c r="D249" s="2" t="s">
        <v>231</v>
      </c>
    </row>
    <row r="250" spans="1:4" ht="27.4" customHeight="1">
      <c r="A250" s="2" t="s">
        <v>307</v>
      </c>
      <c r="B250" s="9">
        <v>45496</v>
      </c>
      <c r="C250" s="5">
        <v>7.9289999999999998E+24</v>
      </c>
      <c r="D250" s="2" t="s">
        <v>231</v>
      </c>
    </row>
    <row r="251" spans="1:4" ht="27.4" customHeight="1">
      <c r="A251" s="2" t="s">
        <v>308</v>
      </c>
      <c r="B251" s="9">
        <v>45496</v>
      </c>
      <c r="C251" s="5">
        <v>3.8E+25</v>
      </c>
      <c r="D251" s="2" t="s">
        <v>231</v>
      </c>
    </row>
    <row r="252" spans="1:4" ht="27.4" customHeight="1">
      <c r="A252" s="2" t="s">
        <v>309</v>
      </c>
      <c r="B252" s="9">
        <v>45502</v>
      </c>
      <c r="C252" s="5">
        <v>4.2999999999999999E+24</v>
      </c>
      <c r="D252" s="2" t="s">
        <v>231</v>
      </c>
    </row>
    <row r="253" spans="1:4" ht="27.4" customHeight="1">
      <c r="A253" s="2" t="s">
        <v>310</v>
      </c>
      <c r="B253" s="9">
        <v>45502</v>
      </c>
      <c r="C253" s="5">
        <v>4.5125999999999998E+23</v>
      </c>
      <c r="D253" s="2" t="s">
        <v>231</v>
      </c>
    </row>
    <row r="254" spans="1:4" ht="27.4" customHeight="1">
      <c r="A254" s="2" t="s">
        <v>311</v>
      </c>
      <c r="B254" s="9">
        <v>45517</v>
      </c>
      <c r="C254" s="5">
        <v>2.96E+25</v>
      </c>
      <c r="D254" s="2" t="s">
        <v>231</v>
      </c>
    </row>
    <row r="255" spans="1:4" ht="27.4" customHeight="1">
      <c r="A255" s="2" t="s">
        <v>312</v>
      </c>
      <c r="B255" s="9">
        <v>45559</v>
      </c>
      <c r="C255" s="5">
        <v>1.7333999999999998E+23</v>
      </c>
      <c r="D255" s="2" t="s">
        <v>231</v>
      </c>
    </row>
    <row r="256" spans="1:4" ht="27.4" customHeight="1">
      <c r="A256" s="2" t="s">
        <v>313</v>
      </c>
      <c r="B256" s="9">
        <v>45559</v>
      </c>
      <c r="C256" s="5">
        <v>5.79E+23</v>
      </c>
      <c r="D256" s="2" t="s">
        <v>231</v>
      </c>
    </row>
    <row r="257" spans="1:4" ht="27.4" customHeight="1">
      <c r="A257" s="2" t="s">
        <v>314</v>
      </c>
      <c r="B257" s="9">
        <v>45569</v>
      </c>
      <c r="C257" s="5">
        <v>1.6499999999999999E+24</v>
      </c>
      <c r="D257" s="2" t="s">
        <v>231</v>
      </c>
    </row>
    <row r="258" spans="1:4" ht="27.4" customHeight="1">
      <c r="A258" s="2" t="s">
        <v>315</v>
      </c>
      <c r="B258" s="9">
        <v>45569</v>
      </c>
      <c r="C258" s="5">
        <v>1.4000000000000001E+23</v>
      </c>
      <c r="D258" s="2" t="s">
        <v>231</v>
      </c>
    </row>
    <row r="259" spans="1:4" ht="27.4" customHeight="1">
      <c r="A259" s="2" t="s">
        <v>316</v>
      </c>
      <c r="B259" s="9">
        <v>45573</v>
      </c>
      <c r="C259" s="5">
        <v>1.428E+23</v>
      </c>
      <c r="D259" s="2" t="s">
        <v>231</v>
      </c>
    </row>
    <row r="260" spans="1:4" ht="27.4" customHeight="1">
      <c r="A260" s="2" t="s">
        <v>317</v>
      </c>
      <c r="B260" s="9">
        <v>45586</v>
      </c>
      <c r="C260" s="5">
        <v>5.8319999999999999E+23</v>
      </c>
      <c r="D260" s="2" t="s">
        <v>231</v>
      </c>
    </row>
    <row r="261" spans="1:4" ht="27.4" customHeight="1">
      <c r="A261" s="2" t="s">
        <v>318</v>
      </c>
      <c r="B261" s="9">
        <v>45586</v>
      </c>
      <c r="C261" s="5">
        <v>1.7999999999999999E+23</v>
      </c>
      <c r="D261" s="2" t="s">
        <v>231</v>
      </c>
    </row>
    <row r="262" spans="1:4" ht="27.4" customHeight="1">
      <c r="A262" s="2" t="s">
        <v>319</v>
      </c>
      <c r="B262" s="9">
        <v>45629</v>
      </c>
      <c r="C262" s="5">
        <v>6.0000099999999997E+24</v>
      </c>
      <c r="D262" s="2" t="s">
        <v>231</v>
      </c>
    </row>
    <row r="263" spans="1:4" ht="27.4" customHeight="1">
      <c r="A263" s="2" t="s">
        <v>320</v>
      </c>
      <c r="B263" s="9">
        <v>45632</v>
      </c>
      <c r="C263" s="5">
        <v>6.8649768000000001E+24</v>
      </c>
      <c r="D263" s="2" t="s">
        <v>231</v>
      </c>
    </row>
    <row r="264" spans="1:4" ht="27.4" customHeight="1">
      <c r="A264" s="2" t="s">
        <v>321</v>
      </c>
      <c r="B264" s="9">
        <v>45638</v>
      </c>
      <c r="C264" s="5">
        <v>9.3202015000000002E+23</v>
      </c>
      <c r="D264" s="2" t="s">
        <v>231</v>
      </c>
    </row>
    <row r="265" spans="1:4" ht="27.4" customHeight="1">
      <c r="A265" s="2" t="s">
        <v>322</v>
      </c>
      <c r="B265" s="9">
        <v>45644</v>
      </c>
      <c r="C265" s="5">
        <v>5.8319999999999999E+23</v>
      </c>
      <c r="D265" s="2" t="s">
        <v>231</v>
      </c>
    </row>
    <row r="266" spans="1:4" ht="27.4" customHeight="1">
      <c r="A266" s="2" t="s">
        <v>323</v>
      </c>
      <c r="B266" s="9">
        <v>45644</v>
      </c>
      <c r="C266" s="5">
        <v>1.7999999999999999E+23</v>
      </c>
      <c r="D266" s="2" t="s">
        <v>231</v>
      </c>
    </row>
    <row r="267" spans="1:4" ht="27.4" customHeight="1">
      <c r="A267" s="2" t="s">
        <v>324</v>
      </c>
      <c r="B267" s="9">
        <v>45657</v>
      </c>
      <c r="C267" s="5">
        <v>1.7999999999999999E+23</v>
      </c>
      <c r="D267" s="2" t="s">
        <v>231</v>
      </c>
    </row>
    <row r="268" spans="1:4" ht="27.4" customHeight="1">
      <c r="A268" s="2" t="s">
        <v>325</v>
      </c>
      <c r="B268" s="9">
        <v>45657</v>
      </c>
      <c r="C268" s="5">
        <v>4.6000000000000001E+23</v>
      </c>
      <c r="D268" s="2" t="s">
        <v>231</v>
      </c>
    </row>
    <row r="269" spans="1:4" ht="27.4" customHeight="1">
      <c r="A269" s="2" t="s">
        <v>326</v>
      </c>
      <c r="B269" s="9">
        <v>45664</v>
      </c>
      <c r="C269" s="5">
        <v>1.4000000000000001E+24</v>
      </c>
      <c r="D269" s="2" t="s">
        <v>231</v>
      </c>
    </row>
    <row r="270" spans="1:4" ht="27.4" customHeight="1">
      <c r="A270" s="2" t="s">
        <v>327</v>
      </c>
      <c r="B270" s="9">
        <v>45664</v>
      </c>
      <c r="C270" s="5">
        <v>2.8000000000000002E+24</v>
      </c>
      <c r="D270" s="2" t="s">
        <v>231</v>
      </c>
    </row>
    <row r="271" spans="1:4" ht="27.4" customHeight="1">
      <c r="A271" s="2" t="s">
        <v>328</v>
      </c>
      <c r="B271" s="9">
        <v>45664</v>
      </c>
      <c r="C271" s="5">
        <v>2.8000000000000002E+24</v>
      </c>
      <c r="D271" s="2" t="s">
        <v>231</v>
      </c>
    </row>
    <row r="272" spans="1:4" ht="27.4" customHeight="1">
      <c r="A272" s="2" t="s">
        <v>329</v>
      </c>
      <c r="B272" s="9">
        <v>45705</v>
      </c>
      <c r="C272" s="5">
        <v>3.4999999999999999E+26</v>
      </c>
      <c r="D272" s="2" t="s">
        <v>231</v>
      </c>
    </row>
    <row r="273" spans="1:4" ht="27.4" customHeight="1">
      <c r="A273" s="2" t="s">
        <v>330</v>
      </c>
      <c r="B273" s="9">
        <v>45707</v>
      </c>
      <c r="C273" s="5">
        <v>1.008E+23</v>
      </c>
      <c r="D273" s="2" t="s">
        <v>231</v>
      </c>
    </row>
    <row r="274" spans="1:4" ht="27.4" customHeight="1">
      <c r="A274" s="2" t="s">
        <v>331</v>
      </c>
      <c r="B274" s="9">
        <v>45707</v>
      </c>
      <c r="C274" s="5">
        <v>2.2500000000000001E+24</v>
      </c>
      <c r="D274" s="2" t="s">
        <v>231</v>
      </c>
    </row>
    <row r="275" spans="1:4" ht="27.4" customHeight="1">
      <c r="A275" s="2" t="s">
        <v>332</v>
      </c>
      <c r="B275" s="9">
        <v>45712</v>
      </c>
      <c r="C275" s="5">
        <v>3.3500000000000002E+25</v>
      </c>
      <c r="D275" s="2" t="s">
        <v>231</v>
      </c>
    </row>
    <row r="276" spans="1:4" ht="27.4" customHeight="1">
      <c r="A276" s="2" t="s">
        <v>333</v>
      </c>
      <c r="B276" s="9">
        <v>45715</v>
      </c>
      <c r="C276" s="5">
        <v>3.8000000000000002E+26</v>
      </c>
      <c r="D276" s="2" t="s">
        <v>231</v>
      </c>
    </row>
    <row r="277" spans="1:4" ht="27.4" customHeight="1">
      <c r="A277" s="2" t="s">
        <v>334</v>
      </c>
      <c r="B277" s="9">
        <v>45729</v>
      </c>
      <c r="C277" s="5">
        <v>1.2999999999999999E+24</v>
      </c>
      <c r="D277" s="2" t="s">
        <v>231</v>
      </c>
    </row>
    <row r="278" spans="1:4" ht="27.4" customHeight="1">
      <c r="A278" s="2" t="s">
        <v>335</v>
      </c>
      <c r="B278" s="9">
        <v>45734</v>
      </c>
      <c r="C278" s="5">
        <v>3.9110010000000001E+25</v>
      </c>
      <c r="D278" s="2" t="s">
        <v>231</v>
      </c>
    </row>
    <row r="279" spans="1:4" ht="27.4" customHeight="1">
      <c r="A279" s="2" t="s">
        <v>336</v>
      </c>
      <c r="B279" s="9">
        <v>45734</v>
      </c>
      <c r="C279" s="5">
        <v>3.6059017000000002E+24</v>
      </c>
      <c r="D279" s="2" t="s">
        <v>231</v>
      </c>
    </row>
    <row r="280" spans="1:4" ht="27.4" customHeight="1">
      <c r="A280" s="2" t="s">
        <v>337</v>
      </c>
      <c r="B280" s="9">
        <v>45752</v>
      </c>
      <c r="C280" s="5">
        <v>4.0800000000000002E+24</v>
      </c>
      <c r="D280" s="2" t="s">
        <v>231</v>
      </c>
    </row>
    <row r="281" spans="1:4" ht="27.4" customHeight="1">
      <c r="A281" s="2" t="s">
        <v>338</v>
      </c>
      <c r="B281" s="9">
        <v>45752</v>
      </c>
      <c r="C281" s="5">
        <v>2.2440000000009999E+24</v>
      </c>
      <c r="D281" s="2" t="s">
        <v>231</v>
      </c>
    </row>
    <row r="282" spans="1:4" ht="27.4" customHeight="1">
      <c r="A282" s="2" t="s">
        <v>339</v>
      </c>
      <c r="B282" s="9">
        <v>45752</v>
      </c>
      <c r="C282" s="5">
        <v>5.1840000000000096E+25</v>
      </c>
      <c r="D282" s="2" t="s">
        <v>231</v>
      </c>
    </row>
    <row r="283" spans="1:4" ht="27.4" customHeight="1">
      <c r="A283" s="2" t="s">
        <v>340</v>
      </c>
      <c r="B283" s="9">
        <v>45761</v>
      </c>
      <c r="C283" s="5">
        <v>7.1999999999999997E+23</v>
      </c>
      <c r="D283" s="2" t="s">
        <v>231</v>
      </c>
    </row>
    <row r="284" spans="1:4" ht="27.4" customHeight="1">
      <c r="A284" s="2" t="s">
        <v>341</v>
      </c>
      <c r="B284" s="9">
        <v>45761</v>
      </c>
      <c r="C284" s="5">
        <v>6.7200000000000004E+24</v>
      </c>
      <c r="D284" s="2" t="s">
        <v>231</v>
      </c>
    </row>
    <row r="285" spans="1:4" ht="27.4" customHeight="1">
      <c r="A285" s="2" t="s">
        <v>342</v>
      </c>
      <c r="B285" s="9">
        <v>45775</v>
      </c>
      <c r="C285" s="5">
        <v>1.4687999999999999E+24</v>
      </c>
      <c r="D285" s="2" t="s">
        <v>231</v>
      </c>
    </row>
    <row r="286" spans="1:4" ht="27.4" customHeight="1">
      <c r="A286" s="2" t="s">
        <v>343</v>
      </c>
      <c r="B286" s="9">
        <v>45796</v>
      </c>
      <c r="C286" s="5">
        <v>6.1200000000000003E+23</v>
      </c>
      <c r="D286" s="2" t="s">
        <v>231</v>
      </c>
    </row>
    <row r="287" spans="1:4" ht="27.4" customHeight="1">
      <c r="A287" s="2" t="s">
        <v>344</v>
      </c>
      <c r="B287" s="9">
        <v>45797</v>
      </c>
      <c r="C287" s="5">
        <v>5.1810000000000002E+23</v>
      </c>
      <c r="D287" s="2" t="s">
        <v>231</v>
      </c>
    </row>
    <row r="288" spans="1:4" ht="27.4" customHeight="1">
      <c r="A288" s="2" t="s">
        <v>345</v>
      </c>
      <c r="B288" s="9">
        <v>45847</v>
      </c>
      <c r="C288" s="5">
        <v>5.0000000000000997E+26</v>
      </c>
      <c r="D288" s="2" t="s">
        <v>231</v>
      </c>
    </row>
    <row r="289" spans="1:4" ht="27.4" customHeight="1">
      <c r="A289" s="2" t="s">
        <v>346</v>
      </c>
      <c r="B289" s="9">
        <v>45874</v>
      </c>
      <c r="C289" s="5">
        <v>5.4899999999999998E+23</v>
      </c>
      <c r="D289" s="2" t="s">
        <v>231</v>
      </c>
    </row>
    <row r="290" spans="1:4" ht="27.4" customHeight="1">
      <c r="A290" s="2" t="s">
        <v>347</v>
      </c>
      <c r="B290" s="9">
        <v>45874</v>
      </c>
      <c r="C290" s="5">
        <v>4.9400000000000001E+24</v>
      </c>
      <c r="D290" s="2" t="s">
        <v>231</v>
      </c>
    </row>
    <row r="291" spans="1:4" ht="27.4" customHeight="1">
      <c r="A291" s="2" t="s">
        <v>348</v>
      </c>
      <c r="B291" s="9">
        <v>45876</v>
      </c>
      <c r="C291" s="5">
        <v>6.6000000000000002E+25</v>
      </c>
      <c r="D291" s="2" t="s">
        <v>231</v>
      </c>
    </row>
    <row r="292" spans="1:4" ht="27.4" customHeight="1">
      <c r="A292" s="2" t="s">
        <v>349</v>
      </c>
      <c r="B292" s="9">
        <v>45887</v>
      </c>
      <c r="C292" s="5">
        <v>1.5300000000000001E+24</v>
      </c>
      <c r="D292" s="2" t="s">
        <v>231</v>
      </c>
    </row>
    <row r="293" spans="1:4" ht="27.4" customHeight="1">
      <c r="A293" s="2" t="s">
        <v>350</v>
      </c>
      <c r="B293" s="9">
        <v>45887</v>
      </c>
      <c r="C293" s="5">
        <v>1.5192E+24</v>
      </c>
      <c r="D293" s="2" t="s">
        <v>231</v>
      </c>
    </row>
    <row r="294" spans="1:4" ht="27.4" customHeight="1">
      <c r="A294" s="2" t="s">
        <v>351</v>
      </c>
      <c r="B294" s="9">
        <v>45932</v>
      </c>
      <c r="C294" s="5">
        <v>1.3499999999999999E+23</v>
      </c>
      <c r="D294" s="2" t="s">
        <v>231</v>
      </c>
    </row>
    <row r="295" spans="1:4" ht="27.4" customHeight="1">
      <c r="A295" s="2" t="s">
        <v>352</v>
      </c>
      <c r="B295" s="9">
        <v>45932</v>
      </c>
      <c r="C295" s="5">
        <v>1.2150000000000001E+24</v>
      </c>
      <c r="D295" s="2" t="s">
        <v>231</v>
      </c>
    </row>
    <row r="296" spans="1:4" ht="27.4" customHeight="1">
      <c r="A296" s="2" t="s">
        <v>353</v>
      </c>
      <c r="B296" s="9">
        <v>45932</v>
      </c>
      <c r="C296" s="5">
        <v>3.1500000000000002E+23</v>
      </c>
      <c r="D296" s="2" t="s">
        <v>231</v>
      </c>
    </row>
    <row r="297" spans="1:4" ht="27.4" customHeight="1">
      <c r="A297" s="2" t="s">
        <v>354</v>
      </c>
      <c r="B297" s="9">
        <v>45948</v>
      </c>
      <c r="C297" s="5">
        <v>1.1E+23</v>
      </c>
      <c r="D297" s="2" t="s">
        <v>231</v>
      </c>
    </row>
    <row r="298" spans="1:4" ht="27.4" customHeight="1">
      <c r="A298" s="2" t="s">
        <v>355</v>
      </c>
      <c r="B298" s="9">
        <v>45981</v>
      </c>
      <c r="C298" s="5">
        <v>1.1E+24</v>
      </c>
      <c r="D298" s="2" t="s">
        <v>231</v>
      </c>
    </row>
    <row r="299" spans="1:4" ht="4.5" customHeight="1"/>
    <row r="300" spans="1:4" ht="4.5" customHeight="1"/>
    <row r="301" spans="1:4" ht="4.5" customHeight="1"/>
    <row r="302" spans="1:4" ht="4.5" customHeight="1"/>
    <row r="303" spans="1:4" ht="4.5" customHeight="1"/>
    <row r="304" spans="1: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H7" sqref="H7"/>
    </sheetView>
  </sheetViews>
  <sheetFormatPr defaultRowHeight="13.5"/>
  <cols>
    <col min="1" max="1" width="30" customWidth="1"/>
    <col min="2" max="4" width="18" customWidth="1"/>
  </cols>
  <sheetData>
    <row r="1" spans="1:4" ht="34.25" customHeight="1">
      <c r="A1" s="14" t="s">
        <v>356</v>
      </c>
      <c r="B1" s="14"/>
      <c r="C1" s="14"/>
      <c r="D1" s="14"/>
    </row>
    <row r="2" spans="1:4" ht="34.25" customHeight="1">
      <c r="A2" s="15" t="s">
        <v>357</v>
      </c>
      <c r="B2" s="15"/>
      <c r="C2" s="15"/>
      <c r="D2" s="15"/>
    </row>
    <row r="3" spans="1:4" ht="34.25" customHeight="1"/>
    <row r="4" spans="1:4" ht="34.25" customHeight="1">
      <c r="A4" s="3" t="s">
        <v>41</v>
      </c>
      <c r="B4" s="3" t="s">
        <v>231</v>
      </c>
      <c r="C4" s="3" t="s">
        <v>60</v>
      </c>
      <c r="D4" s="3" t="s">
        <v>208</v>
      </c>
    </row>
    <row r="5" spans="1:4" ht="34.25" customHeight="1">
      <c r="A5" s="2" t="s">
        <v>46</v>
      </c>
      <c r="B5" s="7">
        <v>1.2685725439466399E-2</v>
      </c>
      <c r="C5" s="7">
        <v>5.045886122979739E-2</v>
      </c>
      <c r="D5" s="7">
        <v>0.10433402673219187</v>
      </c>
    </row>
    <row r="6" spans="1:4" ht="34.25" customHeight="1">
      <c r="A6" s="2" t="s">
        <v>47</v>
      </c>
      <c r="B6" s="7">
        <v>0.23884111755417131</v>
      </c>
      <c r="C6" s="7">
        <v>0.18783299382733251</v>
      </c>
      <c r="D6" s="7">
        <v>0.39344051900229882</v>
      </c>
    </row>
    <row r="7" spans="1:4" ht="34.25" customHeight="1">
      <c r="A7" s="2" t="s">
        <v>48</v>
      </c>
      <c r="B7" s="7">
        <v>1.5938031216757902E-2</v>
      </c>
      <c r="C7" s="7">
        <v>2.1166522720013907E-3</v>
      </c>
      <c r="D7" s="7">
        <v>1.9956758217057134E-2</v>
      </c>
    </row>
    <row r="8" spans="1:4" ht="34.25" customHeight="1">
      <c r="A8" s="2" t="s">
        <v>49</v>
      </c>
      <c r="B8" s="7">
        <v>0.34749885762742</v>
      </c>
      <c r="C8" s="7">
        <v>0.42911180302497237</v>
      </c>
      <c r="D8" s="7">
        <v>0.15939442162244741</v>
      </c>
    </row>
    <row r="9" spans="1:4" ht="34.25" customHeight="1">
      <c r="A9" s="2" t="s">
        <v>50</v>
      </c>
      <c r="B9" s="7">
        <v>0.1979167250088105</v>
      </c>
      <c r="C9" s="7">
        <v>0.13947220145047184</v>
      </c>
      <c r="D9" s="7">
        <v>0.18774731778904394</v>
      </c>
    </row>
    <row r="10" spans="1:4" ht="34.25" customHeight="1">
      <c r="A10" s="2" t="s">
        <v>51</v>
      </c>
      <c r="B10" s="7">
        <v>0.17126049294777651</v>
      </c>
      <c r="C10" s="7">
        <v>0.17853537740528949</v>
      </c>
      <c r="D10" s="7">
        <v>0.10900250617520826</v>
      </c>
    </row>
    <row r="11" spans="1:4" ht="34.25" customHeight="1">
      <c r="A11" s="2" t="s">
        <v>52</v>
      </c>
      <c r="B11" s="7">
        <v>1.5859050205597001E-2</v>
      </c>
      <c r="C11" s="7">
        <v>1.2472110790134879E-2</v>
      </c>
      <c r="D11" s="7">
        <v>2.6124450461752644E-2</v>
      </c>
    </row>
    <row r="12" spans="1:4" ht="4.5" customHeight="1"/>
    <row r="13" spans="1:4" ht="4.5" customHeight="1"/>
    <row r="14" spans="1:4" ht="4.5" customHeight="1"/>
    <row r="15" spans="1:4" ht="4.5" customHeight="1"/>
    <row r="16" spans="1:4" ht="4.5" customHeight="1"/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selection activeCell="J4" sqref="J4"/>
    </sheetView>
  </sheetViews>
  <sheetFormatPr defaultRowHeight="13.5"/>
  <cols>
    <col min="1" max="1" width="14" customWidth="1"/>
    <col min="2" max="2" width="20" customWidth="1"/>
    <col min="3" max="3" width="22" customWidth="1"/>
    <col min="4" max="5" width="20" customWidth="1"/>
    <col min="6" max="6" width="22" customWidth="1"/>
    <col min="7" max="7" width="20" customWidth="1"/>
  </cols>
  <sheetData>
    <row r="1" spans="1:7" ht="44.25" customHeight="1">
      <c r="A1" s="14" t="s">
        <v>358</v>
      </c>
      <c r="B1" s="14"/>
      <c r="C1" s="14"/>
      <c r="D1" s="14"/>
      <c r="E1" s="14"/>
      <c r="F1" s="14"/>
      <c r="G1" s="14"/>
    </row>
    <row r="2" spans="1:7" ht="30" customHeight="1">
      <c r="A2" s="15" t="s">
        <v>359</v>
      </c>
      <c r="B2" s="15"/>
      <c r="C2" s="15"/>
      <c r="D2" s="15"/>
      <c r="E2" s="15"/>
      <c r="F2" s="15"/>
      <c r="G2" s="15"/>
    </row>
    <row r="3" spans="1:7" ht="13.5" customHeight="1"/>
    <row r="4" spans="1:7" ht="72.849999999999994" customHeight="1">
      <c r="A4" s="3" t="s">
        <v>360</v>
      </c>
      <c r="B4" s="3" t="s">
        <v>361</v>
      </c>
      <c r="C4" s="3" t="s">
        <v>362</v>
      </c>
      <c r="D4" s="3" t="s">
        <v>363</v>
      </c>
      <c r="E4" s="3" t="s">
        <v>364</v>
      </c>
      <c r="F4" s="3" t="s">
        <v>365</v>
      </c>
      <c r="G4" s="3" t="s">
        <v>366</v>
      </c>
    </row>
    <row r="5" spans="1:7" ht="24" customHeight="1">
      <c r="A5" s="9">
        <v>43738</v>
      </c>
      <c r="B5" s="10">
        <v>1.0773400000999999E-3</v>
      </c>
      <c r="C5" s="10">
        <v>1.0773400000999999E-3</v>
      </c>
      <c r="D5" s="10">
        <v>1.0773400000999999E-3</v>
      </c>
      <c r="E5" s="10">
        <v>1.0773400000999999E-3</v>
      </c>
      <c r="F5" s="10">
        <v>1.0773400000999999E-3</v>
      </c>
      <c r="G5" s="10">
        <v>1.0773400000999999E-3</v>
      </c>
    </row>
    <row r="6" spans="1:7" ht="24" customHeight="1">
      <c r="A6" s="9">
        <v>43769</v>
      </c>
      <c r="B6" s="10">
        <v>0</v>
      </c>
      <c r="C6" s="10">
        <v>0</v>
      </c>
      <c r="D6" s="10">
        <v>0</v>
      </c>
      <c r="E6" s="10">
        <v>1.0773400000999999E-3</v>
      </c>
      <c r="F6" s="10">
        <v>1.0773400000999999E-3</v>
      </c>
      <c r="G6" s="10">
        <v>1.0773400000999999E-3</v>
      </c>
    </row>
    <row r="7" spans="1:7" ht="24" customHeight="1">
      <c r="A7" s="9">
        <v>43799</v>
      </c>
      <c r="B7" s="10">
        <v>0</v>
      </c>
      <c r="C7" s="10">
        <v>0</v>
      </c>
      <c r="D7" s="10">
        <v>0</v>
      </c>
      <c r="E7" s="10">
        <v>1.0773400000999999E-3</v>
      </c>
      <c r="F7" s="10">
        <v>1.0773400000999999E-3</v>
      </c>
      <c r="G7" s="10">
        <v>1.0773400000999999E-3</v>
      </c>
    </row>
    <row r="8" spans="1:7" ht="24" customHeight="1">
      <c r="A8" s="9">
        <v>43830</v>
      </c>
      <c r="B8" s="10">
        <v>0</v>
      </c>
      <c r="C8" s="10">
        <v>0</v>
      </c>
      <c r="D8" s="10">
        <v>0</v>
      </c>
      <c r="E8" s="10">
        <v>1.0773400000999999E-3</v>
      </c>
      <c r="F8" s="10">
        <v>1.0773400000999999E-3</v>
      </c>
      <c r="G8" s="10">
        <v>1.0773400000999999E-3</v>
      </c>
    </row>
    <row r="9" spans="1:7" ht="24" customHeight="1">
      <c r="A9" s="9">
        <v>43861</v>
      </c>
      <c r="B9" s="10">
        <v>1.1199999999999999E-3</v>
      </c>
      <c r="C9" s="10">
        <v>1.1199999999999999E-3</v>
      </c>
      <c r="D9" s="10">
        <v>1.1199999999999999E-3</v>
      </c>
      <c r="E9" s="10">
        <v>2.1973400000999998E-3</v>
      </c>
      <c r="F9" s="10">
        <v>2.1973400000999998E-3</v>
      </c>
      <c r="G9" s="10">
        <v>2.1973400000999998E-3</v>
      </c>
    </row>
    <row r="10" spans="1:7" ht="24" customHeight="1">
      <c r="A10" s="9">
        <v>43890</v>
      </c>
      <c r="B10" s="10">
        <v>0</v>
      </c>
      <c r="C10" s="10">
        <v>0</v>
      </c>
      <c r="D10" s="10">
        <v>0</v>
      </c>
      <c r="E10" s="10">
        <v>2.1973400000999998E-3</v>
      </c>
      <c r="F10" s="10">
        <v>2.1973400000999998E-3</v>
      </c>
      <c r="G10" s="10">
        <v>2.1973400000999998E-3</v>
      </c>
    </row>
    <row r="11" spans="1:7" ht="24" customHeight="1">
      <c r="A11" s="9">
        <v>43921</v>
      </c>
      <c r="B11" s="10">
        <v>0</v>
      </c>
      <c r="C11" s="10">
        <v>0</v>
      </c>
      <c r="D11" s="10">
        <v>0</v>
      </c>
      <c r="E11" s="10">
        <v>2.1973400000999998E-3</v>
      </c>
      <c r="F11" s="10">
        <v>2.1973400000999998E-3</v>
      </c>
      <c r="G11" s="10">
        <v>2.1973400000999998E-3</v>
      </c>
    </row>
    <row r="12" spans="1:7" ht="24" customHeight="1">
      <c r="A12" s="9">
        <v>43951</v>
      </c>
      <c r="B12" s="10">
        <v>0</v>
      </c>
      <c r="C12" s="10">
        <v>0</v>
      </c>
      <c r="D12" s="10">
        <v>0</v>
      </c>
      <c r="E12" s="10">
        <v>2.1973400000999998E-3</v>
      </c>
      <c r="F12" s="10">
        <v>2.1973400000999998E-3</v>
      </c>
      <c r="G12" s="10">
        <v>2.1973400000999998E-3</v>
      </c>
    </row>
    <row r="13" spans="1:7" ht="24" customHeight="1">
      <c r="A13" s="9">
        <v>43982</v>
      </c>
      <c r="B13" s="10">
        <v>3.14E-3</v>
      </c>
      <c r="C13" s="10">
        <v>3.14E-3</v>
      </c>
      <c r="D13" s="10">
        <v>3.14E-3</v>
      </c>
      <c r="E13" s="10">
        <v>5.3373400000999993E-3</v>
      </c>
      <c r="F13" s="10">
        <v>5.3373400000999993E-3</v>
      </c>
      <c r="G13" s="10">
        <v>5.3373400000999993E-3</v>
      </c>
    </row>
    <row r="14" spans="1:7" ht="24" customHeight="1">
      <c r="A14" s="9">
        <v>44012</v>
      </c>
      <c r="B14" s="10">
        <v>0</v>
      </c>
      <c r="C14" s="10">
        <v>0</v>
      </c>
      <c r="D14" s="10">
        <v>0</v>
      </c>
      <c r="E14" s="10">
        <v>5.3373400000999993E-3</v>
      </c>
      <c r="F14" s="10">
        <v>5.3373400000999993E-3</v>
      </c>
      <c r="G14" s="10">
        <v>5.3373400000999993E-3</v>
      </c>
    </row>
    <row r="15" spans="1:7" ht="24" customHeight="1">
      <c r="A15" s="9">
        <v>44043</v>
      </c>
      <c r="B15" s="10">
        <v>0</v>
      </c>
      <c r="C15" s="10">
        <v>0</v>
      </c>
      <c r="D15" s="10">
        <v>0</v>
      </c>
      <c r="E15" s="10">
        <v>5.3373400000999993E-3</v>
      </c>
      <c r="F15" s="10">
        <v>5.3373400000999993E-3</v>
      </c>
      <c r="G15" s="10">
        <v>5.3373400000999993E-3</v>
      </c>
    </row>
    <row r="16" spans="1:7" ht="24" customHeight="1">
      <c r="A16" s="9">
        <v>44074</v>
      </c>
      <c r="B16" s="10">
        <v>0</v>
      </c>
      <c r="C16" s="10">
        <v>0</v>
      </c>
      <c r="D16" s="10">
        <v>0</v>
      </c>
      <c r="E16" s="10">
        <v>5.3373400000999993E-3</v>
      </c>
      <c r="F16" s="10">
        <v>5.3373400000999993E-3</v>
      </c>
      <c r="G16" s="10">
        <v>5.3373400000999993E-3</v>
      </c>
    </row>
    <row r="17" spans="1:7" ht="24" customHeight="1">
      <c r="A17" s="9">
        <v>44104</v>
      </c>
      <c r="B17" s="10">
        <v>0</v>
      </c>
      <c r="C17" s="10">
        <v>0</v>
      </c>
      <c r="D17" s="10">
        <v>0</v>
      </c>
      <c r="E17" s="10">
        <v>5.3373400000999993E-3</v>
      </c>
      <c r="F17" s="10">
        <v>5.3373400000999993E-3</v>
      </c>
      <c r="G17" s="10">
        <v>5.3373400000999993E-3</v>
      </c>
    </row>
    <row r="18" spans="1:7" ht="24" customHeight="1">
      <c r="A18" s="9">
        <v>44135</v>
      </c>
      <c r="B18" s="10">
        <v>0</v>
      </c>
      <c r="C18" s="10">
        <v>0</v>
      </c>
      <c r="D18" s="10">
        <v>0</v>
      </c>
      <c r="E18" s="10">
        <v>5.3373400000999993E-3</v>
      </c>
      <c r="F18" s="10">
        <v>5.3373400000999993E-3</v>
      </c>
      <c r="G18" s="10">
        <v>5.3373400000999993E-3</v>
      </c>
    </row>
    <row r="19" spans="1:7" ht="24" customHeight="1">
      <c r="A19" s="9">
        <v>44165</v>
      </c>
      <c r="B19" s="10">
        <v>0</v>
      </c>
      <c r="C19" s="10">
        <v>0</v>
      </c>
      <c r="D19" s="10">
        <v>0</v>
      </c>
      <c r="E19" s="10">
        <v>5.3373400000999993E-3</v>
      </c>
      <c r="F19" s="10">
        <v>5.3373400000999993E-3</v>
      </c>
      <c r="G19" s="10">
        <v>5.3373400000999993E-3</v>
      </c>
    </row>
    <row r="20" spans="1:7" ht="24" customHeight="1">
      <c r="A20" s="9">
        <v>44196</v>
      </c>
      <c r="B20" s="10">
        <v>0</v>
      </c>
      <c r="C20" s="10">
        <v>0</v>
      </c>
      <c r="D20" s="10">
        <v>0</v>
      </c>
      <c r="E20" s="10">
        <v>5.3373400000999993E-3</v>
      </c>
      <c r="F20" s="10">
        <v>5.3373400000999993E-3</v>
      </c>
      <c r="G20" s="10">
        <v>5.3373400000999993E-3</v>
      </c>
    </row>
    <row r="21" spans="1:7" ht="24" customHeight="1">
      <c r="A21" s="9">
        <v>44227</v>
      </c>
      <c r="B21" s="10">
        <v>0</v>
      </c>
      <c r="C21" s="10">
        <v>0</v>
      </c>
      <c r="D21" s="10">
        <v>0</v>
      </c>
      <c r="E21" s="10">
        <v>5.3373400000999993E-3</v>
      </c>
      <c r="F21" s="10">
        <v>5.3373400000999993E-3</v>
      </c>
      <c r="G21" s="10">
        <v>5.3373400000999993E-3</v>
      </c>
    </row>
    <row r="22" spans="1:7" ht="24" customHeight="1">
      <c r="A22" s="9">
        <v>44255</v>
      </c>
      <c r="B22" s="10">
        <v>0</v>
      </c>
      <c r="C22" s="10">
        <v>0</v>
      </c>
      <c r="D22" s="10">
        <v>0</v>
      </c>
      <c r="E22" s="10">
        <v>5.3373400000999993E-3</v>
      </c>
      <c r="F22" s="10">
        <v>5.3373400000999993E-3</v>
      </c>
      <c r="G22" s="10">
        <v>5.3373400000999993E-3</v>
      </c>
    </row>
    <row r="23" spans="1:7" ht="24" customHeight="1">
      <c r="A23" s="9">
        <v>44286</v>
      </c>
      <c r="B23" s="10">
        <v>0</v>
      </c>
      <c r="C23" s="10">
        <v>0</v>
      </c>
      <c r="D23" s="10">
        <v>0</v>
      </c>
      <c r="E23" s="10">
        <v>5.3373400000999993E-3</v>
      </c>
      <c r="F23" s="10">
        <v>5.3373400000999993E-3</v>
      </c>
      <c r="G23" s="10">
        <v>5.3373400000999993E-3</v>
      </c>
    </row>
    <row r="24" spans="1:7" ht="24" customHeight="1">
      <c r="A24" s="9">
        <v>44316</v>
      </c>
      <c r="B24" s="10">
        <v>0</v>
      </c>
      <c r="C24" s="10">
        <v>0</v>
      </c>
      <c r="D24" s="10">
        <v>0</v>
      </c>
      <c r="E24" s="10">
        <v>5.3373400000999993E-3</v>
      </c>
      <c r="F24" s="10">
        <v>5.3373400000999993E-3</v>
      </c>
      <c r="G24" s="10">
        <v>5.3373400000999993E-3</v>
      </c>
    </row>
    <row r="25" spans="1:7" ht="24" customHeight="1">
      <c r="A25" s="9">
        <v>44347</v>
      </c>
      <c r="B25" s="10">
        <v>1.54350000000001E-2</v>
      </c>
      <c r="C25" s="10">
        <v>1.54350000000001E-2</v>
      </c>
      <c r="D25" s="10">
        <v>1.54350000000001E-2</v>
      </c>
      <c r="E25" s="10">
        <v>2.0772340000100101E-2</v>
      </c>
      <c r="F25" s="10">
        <v>2.0772340000100101E-2</v>
      </c>
      <c r="G25" s="10">
        <v>2.0772340000100101E-2</v>
      </c>
    </row>
    <row r="26" spans="1:7" ht="24" customHeight="1">
      <c r="A26" s="9">
        <v>44377</v>
      </c>
      <c r="B26" s="10">
        <v>0</v>
      </c>
      <c r="C26" s="10">
        <v>0</v>
      </c>
      <c r="D26" s="10">
        <v>0</v>
      </c>
      <c r="E26" s="10">
        <v>2.0772340000100101E-2</v>
      </c>
      <c r="F26" s="10">
        <v>2.0772340000100101E-2</v>
      </c>
      <c r="G26" s="10">
        <v>2.0772340000100101E-2</v>
      </c>
    </row>
    <row r="27" spans="1:7" ht="24" customHeight="1">
      <c r="A27" s="9">
        <v>44408</v>
      </c>
      <c r="B27" s="10">
        <v>0</v>
      </c>
      <c r="C27" s="10">
        <v>0</v>
      </c>
      <c r="D27" s="10">
        <v>0</v>
      </c>
      <c r="E27" s="10">
        <v>2.0772340000100101E-2</v>
      </c>
      <c r="F27" s="10">
        <v>2.0772340000100101E-2</v>
      </c>
      <c r="G27" s="10">
        <v>2.0772340000100101E-2</v>
      </c>
    </row>
    <row r="28" spans="1:7" ht="24" customHeight="1">
      <c r="A28" s="9">
        <v>44439</v>
      </c>
      <c r="B28" s="10">
        <v>3.7000000000000002E-3</v>
      </c>
      <c r="C28" s="10">
        <v>3.7000000000000002E-3</v>
      </c>
      <c r="D28" s="10">
        <v>3.7000000000000002E-3</v>
      </c>
      <c r="E28" s="10">
        <v>2.4472340000100103E-2</v>
      </c>
      <c r="F28" s="10">
        <v>2.4472340000100103E-2</v>
      </c>
      <c r="G28" s="10">
        <v>2.4472340000100103E-2</v>
      </c>
    </row>
    <row r="29" spans="1:7" ht="24" customHeight="1">
      <c r="A29" s="9">
        <v>44469</v>
      </c>
      <c r="B29" s="10">
        <v>3.4760000000999998E-3</v>
      </c>
      <c r="C29" s="10">
        <v>3.4760000000999998E-3</v>
      </c>
      <c r="D29" s="10">
        <v>3.4760000000999998E-3</v>
      </c>
      <c r="E29" s="10">
        <v>2.7948340000200102E-2</v>
      </c>
      <c r="F29" s="10">
        <v>2.7948340000200102E-2</v>
      </c>
      <c r="G29" s="10">
        <v>2.7948340000200102E-2</v>
      </c>
    </row>
    <row r="30" spans="1:7" ht="24" customHeight="1">
      <c r="A30" s="9">
        <v>44500</v>
      </c>
      <c r="B30" s="10">
        <v>1.21240000000001E-2</v>
      </c>
      <c r="C30" s="10">
        <v>1.21240000000001E-2</v>
      </c>
      <c r="D30" s="10">
        <v>1.21240000000001E-2</v>
      </c>
      <c r="E30" s="10">
        <v>4.0072340000200199E-2</v>
      </c>
      <c r="F30" s="10">
        <v>4.0072340000200199E-2</v>
      </c>
      <c r="G30" s="10">
        <v>4.0072340000200199E-2</v>
      </c>
    </row>
    <row r="31" spans="1:7" ht="24" customHeight="1">
      <c r="A31" s="9">
        <v>44530</v>
      </c>
      <c r="B31" s="10">
        <v>0</v>
      </c>
      <c r="C31" s="10">
        <v>0</v>
      </c>
      <c r="D31" s="10">
        <v>0</v>
      </c>
      <c r="E31" s="10">
        <v>4.0072340000200199E-2</v>
      </c>
      <c r="F31" s="10">
        <v>4.0072340000200199E-2</v>
      </c>
      <c r="G31" s="10">
        <v>4.0072340000200199E-2</v>
      </c>
    </row>
    <row r="32" spans="1:7" ht="24" customHeight="1">
      <c r="A32" s="9">
        <v>44561</v>
      </c>
      <c r="B32" s="10">
        <v>3.7323311243399993E-2</v>
      </c>
      <c r="C32" s="10">
        <v>3.7323311243399993E-2</v>
      </c>
      <c r="D32" s="10">
        <v>3.7323311243399993E-2</v>
      </c>
      <c r="E32" s="10">
        <v>7.7395651243600191E-2</v>
      </c>
      <c r="F32" s="10">
        <v>7.7395651243600191E-2</v>
      </c>
      <c r="G32" s="10">
        <v>7.7395651243600191E-2</v>
      </c>
    </row>
    <row r="33" spans="1:7" ht="24" customHeight="1">
      <c r="A33" s="9">
        <v>44592</v>
      </c>
      <c r="B33" s="10">
        <v>0</v>
      </c>
      <c r="C33" s="10">
        <v>0</v>
      </c>
      <c r="D33" s="10">
        <v>0</v>
      </c>
      <c r="E33" s="10">
        <v>7.7395651243600191E-2</v>
      </c>
      <c r="F33" s="10">
        <v>7.7395651243600191E-2</v>
      </c>
      <c r="G33" s="10">
        <v>7.7395651243600191E-2</v>
      </c>
    </row>
    <row r="34" spans="1:7" ht="24" customHeight="1">
      <c r="A34" s="9">
        <v>44620</v>
      </c>
      <c r="B34" s="10">
        <v>8.8301000000000091E-3</v>
      </c>
      <c r="C34" s="10">
        <v>8.8301000000000091E-3</v>
      </c>
      <c r="D34" s="10">
        <v>8.8301000000000091E-3</v>
      </c>
      <c r="E34" s="10">
        <v>8.6225751243600199E-2</v>
      </c>
      <c r="F34" s="10">
        <v>8.6225751243600199E-2</v>
      </c>
      <c r="G34" s="10">
        <v>8.6225751243600199E-2</v>
      </c>
    </row>
    <row r="35" spans="1:7" ht="24" customHeight="1">
      <c r="A35" s="9">
        <v>44651</v>
      </c>
      <c r="B35" s="10">
        <v>3.1539999999999999E-2</v>
      </c>
      <c r="C35" s="10">
        <v>3.1539999999999999E-2</v>
      </c>
      <c r="D35" s="10">
        <v>3.1539999999999999E-2</v>
      </c>
      <c r="E35" s="10">
        <v>0.1177657512436002</v>
      </c>
      <c r="F35" s="10">
        <v>0.1177657512436002</v>
      </c>
      <c r="G35" s="10">
        <v>0.1177657512436002</v>
      </c>
    </row>
    <row r="36" spans="1:7" ht="24" customHeight="1">
      <c r="A36" s="9">
        <v>44681</v>
      </c>
      <c r="B36" s="10">
        <v>2.8641578400000003E-2</v>
      </c>
      <c r="C36" s="10">
        <v>2.8641578400000003E-2</v>
      </c>
      <c r="D36" s="10">
        <v>2.8641578400000003E-2</v>
      </c>
      <c r="E36" s="10">
        <v>0.1464073296436002</v>
      </c>
      <c r="F36" s="10">
        <v>0.1464073296436002</v>
      </c>
      <c r="G36" s="10">
        <v>0.1464073296436002</v>
      </c>
    </row>
    <row r="37" spans="1:7" ht="24" customHeight="1">
      <c r="A37" s="9">
        <v>44712</v>
      </c>
      <c r="B37" s="10">
        <v>9.0299999999999998E-3</v>
      </c>
      <c r="C37" s="10">
        <v>9.0299999999999998E-3</v>
      </c>
      <c r="D37" s="10">
        <v>9.0299999999999998E-3</v>
      </c>
      <c r="E37" s="10">
        <v>0.15543732964360021</v>
      </c>
      <c r="F37" s="10">
        <v>0.15543732964360021</v>
      </c>
      <c r="G37" s="10">
        <v>0.15543732964360021</v>
      </c>
    </row>
    <row r="38" spans="1:7" ht="24" customHeight="1">
      <c r="A38" s="9">
        <v>44742</v>
      </c>
      <c r="B38" s="10">
        <v>4.1411079360000998E-2</v>
      </c>
      <c r="C38" s="10">
        <v>4.1411079360000998E-2</v>
      </c>
      <c r="D38" s="10">
        <v>4.1411079360000998E-2</v>
      </c>
      <c r="E38" s="10">
        <v>0.1968484090036012</v>
      </c>
      <c r="F38" s="10">
        <v>0.1968484090036012</v>
      </c>
      <c r="G38" s="10">
        <v>0.1968484090036012</v>
      </c>
    </row>
    <row r="39" spans="1:7" ht="24" customHeight="1">
      <c r="A39" s="9">
        <v>44773</v>
      </c>
      <c r="B39" s="10">
        <v>3.6566399999999996E-3</v>
      </c>
      <c r="C39" s="10">
        <v>3.6566399999999996E-3</v>
      </c>
      <c r="D39" s="10">
        <v>3.6566399999999996E-3</v>
      </c>
      <c r="E39" s="10">
        <v>0.20050504900360119</v>
      </c>
      <c r="F39" s="10">
        <v>0.20050504900360119</v>
      </c>
      <c r="G39" s="10">
        <v>0.20050504900360119</v>
      </c>
    </row>
    <row r="40" spans="1:7" ht="24" customHeight="1">
      <c r="A40" s="9">
        <v>44804</v>
      </c>
      <c r="B40" s="10">
        <v>1.0140791354499998E-2</v>
      </c>
      <c r="C40" s="10">
        <v>1.0140791354499998E-2</v>
      </c>
      <c r="D40" s="10">
        <v>1.0140791354499998E-2</v>
      </c>
      <c r="E40" s="10">
        <v>0.21064584035810119</v>
      </c>
      <c r="F40" s="10">
        <v>0.21064584035810119</v>
      </c>
      <c r="G40" s="10">
        <v>0.21064584035810119</v>
      </c>
    </row>
    <row r="41" spans="1:7" ht="24" customHeight="1">
      <c r="A41" s="9">
        <v>44834</v>
      </c>
      <c r="B41" s="10">
        <v>1.6899999999999999E-3</v>
      </c>
      <c r="C41" s="10">
        <v>1.6899999999999999E-3</v>
      </c>
      <c r="D41" s="10">
        <v>1.6899999999999999E-3</v>
      </c>
      <c r="E41" s="10">
        <v>0.21233584035810119</v>
      </c>
      <c r="F41" s="10">
        <v>0.21233584035810119</v>
      </c>
      <c r="G41" s="10">
        <v>0.21233584035810119</v>
      </c>
    </row>
    <row r="42" spans="1:7" ht="24" customHeight="1">
      <c r="A42" s="9">
        <v>44865</v>
      </c>
      <c r="B42" s="10">
        <v>0</v>
      </c>
      <c r="C42" s="10">
        <v>0</v>
      </c>
      <c r="D42" s="10">
        <v>0</v>
      </c>
      <c r="E42" s="10">
        <v>0.21233584035810119</v>
      </c>
      <c r="F42" s="10">
        <v>0.21233584035810119</v>
      </c>
      <c r="G42" s="10">
        <v>0.21233584035810119</v>
      </c>
    </row>
    <row r="43" spans="1:7" ht="24" customHeight="1">
      <c r="A43" s="9">
        <v>44895</v>
      </c>
      <c r="B43" s="10">
        <v>3.2400000000000003E-3</v>
      </c>
      <c r="C43" s="10">
        <v>3.2400000000000003E-3</v>
      </c>
      <c r="D43" s="10">
        <v>3.2400000000000003E-3</v>
      </c>
      <c r="E43" s="10">
        <v>0.21557584035810118</v>
      </c>
      <c r="F43" s="10">
        <v>0.21557584035810118</v>
      </c>
      <c r="G43" s="10">
        <v>0.21557584035810118</v>
      </c>
    </row>
    <row r="44" spans="1:7" ht="24" customHeight="1">
      <c r="A44" s="9">
        <v>44926</v>
      </c>
      <c r="B44" s="10">
        <v>1.1000000000000001E-3</v>
      </c>
      <c r="C44" s="10">
        <v>1.1000000000000001E-3</v>
      </c>
      <c r="D44" s="10">
        <v>1.1000000000000001E-3</v>
      </c>
      <c r="E44" s="10">
        <v>0.21667584035810117</v>
      </c>
      <c r="F44" s="10">
        <v>0.21667584035810117</v>
      </c>
      <c r="G44" s="10">
        <v>0.21667584035810117</v>
      </c>
    </row>
    <row r="45" spans="1:7" ht="24" customHeight="1">
      <c r="A45" s="9">
        <v>44957</v>
      </c>
      <c r="B45" s="10">
        <v>0</v>
      </c>
      <c r="C45" s="10">
        <v>0</v>
      </c>
      <c r="D45" s="10">
        <v>0</v>
      </c>
      <c r="E45" s="10">
        <v>0.21667584035810117</v>
      </c>
      <c r="F45" s="10">
        <v>0.21667584035810117</v>
      </c>
      <c r="G45" s="10">
        <v>0.21667584035810117</v>
      </c>
    </row>
    <row r="46" spans="1:7" ht="24" customHeight="1">
      <c r="A46" s="9">
        <v>44985</v>
      </c>
      <c r="B46" s="10">
        <v>1.01624800000001E-2</v>
      </c>
      <c r="C46" s="10">
        <v>1.01624800000001E-2</v>
      </c>
      <c r="D46" s="10">
        <v>1.01624800000001E-2</v>
      </c>
      <c r="E46" s="10">
        <v>0.22683832035810128</v>
      </c>
      <c r="F46" s="10">
        <v>0.22683832035810128</v>
      </c>
      <c r="G46" s="10">
        <v>0.22683832035810128</v>
      </c>
    </row>
    <row r="47" spans="1:7" ht="24" customHeight="1">
      <c r="A47" s="9">
        <v>45016</v>
      </c>
      <c r="B47" s="10">
        <v>0.22183</v>
      </c>
      <c r="C47" s="10">
        <v>0.22183</v>
      </c>
      <c r="D47" s="10">
        <v>0.22183</v>
      </c>
      <c r="E47" s="10">
        <v>0.44866832035810128</v>
      </c>
      <c r="F47" s="10">
        <v>0.44866832035810128</v>
      </c>
      <c r="G47" s="10">
        <v>0.44866832035810128</v>
      </c>
    </row>
    <row r="48" spans="1:7" ht="24" customHeight="1">
      <c r="A48" s="9">
        <v>45046</v>
      </c>
      <c r="B48" s="10">
        <v>3.9969977599999998E-2</v>
      </c>
      <c r="C48" s="10">
        <v>3.9969977599999998E-2</v>
      </c>
      <c r="D48" s="10">
        <v>3.9969977599999998E-2</v>
      </c>
      <c r="E48" s="10">
        <v>0.48863829795810126</v>
      </c>
      <c r="F48" s="10">
        <v>0.48863829795810126</v>
      </c>
      <c r="G48" s="10">
        <v>0.48863829795810126</v>
      </c>
    </row>
    <row r="49" spans="1:7" ht="24" customHeight="1">
      <c r="A49" s="9">
        <v>45077</v>
      </c>
      <c r="B49" s="10">
        <v>7.3399999999999993E-2</v>
      </c>
      <c r="C49" s="10">
        <v>7.3399999999999993E-2</v>
      </c>
      <c r="D49" s="10">
        <v>7.3399999999999993E-2</v>
      </c>
      <c r="E49" s="10">
        <v>0.56203829795810123</v>
      </c>
      <c r="F49" s="10">
        <v>0.56203829795810123</v>
      </c>
      <c r="G49" s="10">
        <v>0.56203829795810123</v>
      </c>
    </row>
    <row r="50" spans="1:7" ht="24" customHeight="1">
      <c r="A50" s="9">
        <v>45107</v>
      </c>
      <c r="B50" s="10">
        <v>1.1891000000000099E-2</v>
      </c>
      <c r="C50" s="10">
        <v>1.1891000000000099E-2</v>
      </c>
      <c r="D50" s="10">
        <v>1.1891000000000099E-2</v>
      </c>
      <c r="E50" s="10">
        <v>0.57392929795810133</v>
      </c>
      <c r="F50" s="10">
        <v>0.57392929795810133</v>
      </c>
      <c r="G50" s="10">
        <v>0.57392929795810133</v>
      </c>
    </row>
    <row r="51" spans="1:7" ht="24" customHeight="1">
      <c r="A51" s="9">
        <v>45138</v>
      </c>
      <c r="B51" s="10">
        <v>6.8624000000000004E-2</v>
      </c>
      <c r="C51" s="10">
        <v>6.8624000000000004E-2</v>
      </c>
      <c r="D51" s="10">
        <v>6.8624000000000004E-2</v>
      </c>
      <c r="E51" s="10">
        <v>0.64255329795810134</v>
      </c>
      <c r="F51" s="10">
        <v>0.64255329795810134</v>
      </c>
      <c r="G51" s="10">
        <v>0.64255329795810134</v>
      </c>
    </row>
    <row r="52" spans="1:7" ht="24" customHeight="1">
      <c r="A52" s="9">
        <v>45169</v>
      </c>
      <c r="B52" s="10">
        <v>2.6815999999999996E-2</v>
      </c>
      <c r="C52" s="10">
        <v>2.6815999999999996E-2</v>
      </c>
      <c r="D52" s="10">
        <v>2.6815999999999996E-2</v>
      </c>
      <c r="E52" s="10">
        <v>0.66936929795810129</v>
      </c>
      <c r="F52" s="10">
        <v>0.66936929795810129</v>
      </c>
      <c r="G52" s="10">
        <v>0.66936929795810129</v>
      </c>
    </row>
    <row r="53" spans="1:7" ht="24" customHeight="1">
      <c r="A53" s="9">
        <v>45199</v>
      </c>
      <c r="B53" s="10">
        <v>0.11560199999999998</v>
      </c>
      <c r="C53" s="10">
        <v>0.11560199999999998</v>
      </c>
      <c r="D53" s="10">
        <v>0.11560199999999998</v>
      </c>
      <c r="E53" s="10">
        <v>0.78497129795810128</v>
      </c>
      <c r="F53" s="10">
        <v>0.78497129795810128</v>
      </c>
      <c r="G53" s="10">
        <v>0.78497129795810128</v>
      </c>
    </row>
    <row r="54" spans="1:7" ht="24" customHeight="1">
      <c r="A54" s="9">
        <v>45230</v>
      </c>
      <c r="B54" s="10">
        <v>2.0350000000000097E-2</v>
      </c>
      <c r="C54" s="10">
        <v>2.0350000000000097E-2</v>
      </c>
      <c r="D54" s="10">
        <v>2.0350000000000097E-2</v>
      </c>
      <c r="E54" s="10">
        <v>0.80532129795810137</v>
      </c>
      <c r="F54" s="10">
        <v>0.80532129795810137</v>
      </c>
      <c r="G54" s="10">
        <v>0.80532129795810137</v>
      </c>
    </row>
    <row r="55" spans="1:7" ht="24" customHeight="1">
      <c r="A55" s="9">
        <v>45260</v>
      </c>
      <c r="B55" s="10">
        <v>0.1841172049001</v>
      </c>
      <c r="C55" s="10">
        <v>0.1841172049001</v>
      </c>
      <c r="D55" s="10">
        <v>0.1841172049001</v>
      </c>
      <c r="E55" s="10">
        <v>0.98943850285820134</v>
      </c>
      <c r="F55" s="10">
        <v>0.98943850285820134</v>
      </c>
      <c r="G55" s="10">
        <v>0.98943850285820134</v>
      </c>
    </row>
    <row r="56" spans="1:7" ht="24" customHeight="1">
      <c r="A56" s="9">
        <v>45291</v>
      </c>
      <c r="B56" s="10">
        <v>0.52876400001000012</v>
      </c>
      <c r="C56" s="10">
        <v>0.52876400001000012</v>
      </c>
      <c r="D56" s="10">
        <v>0.52876400001000012</v>
      </c>
      <c r="E56" s="10">
        <v>1.5182025028682014</v>
      </c>
      <c r="F56" s="10">
        <v>1.5182025028682014</v>
      </c>
      <c r="G56" s="10">
        <v>1.5182025028682014</v>
      </c>
    </row>
    <row r="57" spans="1:7" ht="24" customHeight="1">
      <c r="A57" s="9">
        <v>45322</v>
      </c>
      <c r="B57" s="10">
        <v>2.7719999999999998E-2</v>
      </c>
      <c r="C57" s="10">
        <v>2.7719999999999998E-2</v>
      </c>
      <c r="D57" s="10">
        <v>2.7719999999999998E-2</v>
      </c>
      <c r="E57" s="10">
        <v>1.5459225028682013</v>
      </c>
      <c r="F57" s="10">
        <v>1.5459225028682013</v>
      </c>
      <c r="G57" s="10">
        <v>1.5459225028682013</v>
      </c>
    </row>
    <row r="58" spans="1:7" ht="24" customHeight="1">
      <c r="A58" s="9">
        <v>45351</v>
      </c>
      <c r="B58" s="10">
        <v>0.20053447874360014</v>
      </c>
      <c r="C58" s="10">
        <v>0.20053447874360014</v>
      </c>
      <c r="D58" s="10">
        <v>0.20053447874360014</v>
      </c>
      <c r="E58" s="10">
        <v>1.7464569816118014</v>
      </c>
      <c r="F58" s="10">
        <v>1.7464569816118014</v>
      </c>
      <c r="G58" s="10">
        <v>1.7464569816118014</v>
      </c>
    </row>
    <row r="59" spans="1:7" ht="24" customHeight="1">
      <c r="A59" s="9">
        <v>45382</v>
      </c>
      <c r="B59" s="10">
        <v>0.30846001000000001</v>
      </c>
      <c r="C59" s="10">
        <v>0.30846001000000001</v>
      </c>
      <c r="D59" s="10">
        <v>0.30846001000000001</v>
      </c>
      <c r="E59" s="10">
        <v>2.0549169916118015</v>
      </c>
      <c r="F59" s="10">
        <v>2.0549169916118015</v>
      </c>
      <c r="G59" s="10">
        <v>2.0549169916118015</v>
      </c>
    </row>
    <row r="60" spans="1:7" ht="24" customHeight="1">
      <c r="A60" s="9">
        <v>45412</v>
      </c>
      <c r="B60" s="10">
        <v>0.2252798359</v>
      </c>
      <c r="C60" s="10">
        <v>0.2252798359</v>
      </c>
      <c r="D60" s="10">
        <v>0.2252798359</v>
      </c>
      <c r="E60" s="10">
        <v>2.2801968275118014</v>
      </c>
      <c r="F60" s="10">
        <v>2.2801968275118014</v>
      </c>
      <c r="G60" s="10">
        <v>2.2801968275118014</v>
      </c>
    </row>
    <row r="61" spans="1:7" ht="24" customHeight="1">
      <c r="A61" s="9">
        <v>45443</v>
      </c>
      <c r="B61" s="10">
        <v>7.9930821101200103E-2</v>
      </c>
      <c r="C61" s="10">
        <v>7.9930821101200103E-2</v>
      </c>
      <c r="D61" s="10">
        <v>7.9930821101200103E-2</v>
      </c>
      <c r="E61" s="10">
        <v>2.3601276486130014</v>
      </c>
      <c r="F61" s="10">
        <v>2.3601276486130014</v>
      </c>
      <c r="G61" s="10">
        <v>2.3601276486130014</v>
      </c>
    </row>
    <row r="62" spans="1:7" ht="24" customHeight="1">
      <c r="A62" s="9">
        <v>45473</v>
      </c>
      <c r="B62" s="10">
        <v>0.54117821310000014</v>
      </c>
      <c r="C62" s="10">
        <v>0.54117821310000014</v>
      </c>
      <c r="D62" s="10">
        <v>0.54117821310000014</v>
      </c>
      <c r="E62" s="10">
        <v>2.9013058617130016</v>
      </c>
      <c r="F62" s="10">
        <v>2.9013058617130016</v>
      </c>
      <c r="G62" s="10">
        <v>2.9013058617130016</v>
      </c>
    </row>
    <row r="63" spans="1:7" ht="24" customHeight="1">
      <c r="A63" s="9">
        <v>45504</v>
      </c>
      <c r="B63" s="10">
        <v>0.73498260000000004</v>
      </c>
      <c r="C63" s="10">
        <v>0.73498260000000004</v>
      </c>
      <c r="D63" s="10">
        <v>0.73498260000000004</v>
      </c>
      <c r="E63" s="10">
        <v>3.6362884617130016</v>
      </c>
      <c r="F63" s="10">
        <v>3.6362884617130016</v>
      </c>
      <c r="G63" s="10">
        <v>3.6362884617130016</v>
      </c>
    </row>
    <row r="64" spans="1:7" ht="24" customHeight="1">
      <c r="A64" s="9">
        <v>45535</v>
      </c>
      <c r="B64" s="10">
        <v>0.31802311009999995</v>
      </c>
      <c r="C64" s="10">
        <v>0.31802311009999995</v>
      </c>
      <c r="D64" s="10">
        <v>0.31802311009999995</v>
      </c>
      <c r="E64" s="10">
        <v>3.9543115718130015</v>
      </c>
      <c r="F64" s="10">
        <v>3.9543115718130015</v>
      </c>
      <c r="G64" s="10">
        <v>3.9543115718130015</v>
      </c>
    </row>
    <row r="65" spans="1:7" ht="24" customHeight="1">
      <c r="A65" s="9">
        <v>45565</v>
      </c>
      <c r="B65" s="10">
        <v>0.24516990000000016</v>
      </c>
      <c r="C65" s="10">
        <v>0.24516990000000016</v>
      </c>
      <c r="D65" s="10">
        <v>0.24516990000000016</v>
      </c>
      <c r="E65" s="10">
        <v>4.1994814718130016</v>
      </c>
      <c r="F65" s="10">
        <v>4.1994814718130016</v>
      </c>
      <c r="G65" s="10">
        <v>4.1994814718130016</v>
      </c>
    </row>
    <row r="66" spans="1:7" ht="24" customHeight="1">
      <c r="A66" s="9">
        <v>45596</v>
      </c>
      <c r="B66" s="10">
        <v>0.29246</v>
      </c>
      <c r="C66" s="10">
        <v>0.29246</v>
      </c>
      <c r="D66" s="10">
        <v>0.29246</v>
      </c>
      <c r="E66" s="10">
        <v>4.4919414718130017</v>
      </c>
      <c r="F66" s="10">
        <v>4.4919414718130017</v>
      </c>
      <c r="G66" s="10">
        <v>4.4919414718130017</v>
      </c>
    </row>
    <row r="67" spans="1:7" ht="24" customHeight="1">
      <c r="A67" s="9">
        <v>45626</v>
      </c>
      <c r="B67" s="10">
        <v>4.5648699999999993E-2</v>
      </c>
      <c r="C67" s="10">
        <v>4.5648699999999993E-2</v>
      </c>
      <c r="D67" s="10">
        <v>4.5648699999999993E-2</v>
      </c>
      <c r="E67" s="10">
        <v>4.5375901718130018</v>
      </c>
      <c r="F67" s="10">
        <v>4.5375901718130018</v>
      </c>
      <c r="G67" s="10">
        <v>4.5375901718130018</v>
      </c>
    </row>
    <row r="68" spans="1:7" ht="24" customHeight="1">
      <c r="A68" s="9">
        <v>45657</v>
      </c>
      <c r="B68" s="10">
        <v>0.209073551</v>
      </c>
      <c r="C68" s="10">
        <v>0.209073551</v>
      </c>
      <c r="D68" s="10">
        <v>0.209073551</v>
      </c>
      <c r="E68" s="10">
        <v>4.7466637228130022</v>
      </c>
      <c r="F68" s="10">
        <v>4.7466637228130022</v>
      </c>
      <c r="G68" s="10">
        <v>4.7466637228130022</v>
      </c>
    </row>
    <row r="69" spans="1:7" ht="24" customHeight="1">
      <c r="A69" s="9">
        <v>45688</v>
      </c>
      <c r="B69" s="10">
        <v>0.15765648000000002</v>
      </c>
      <c r="C69" s="10">
        <v>0.15765648000000002</v>
      </c>
      <c r="D69" s="10">
        <v>0.15765648000000002</v>
      </c>
      <c r="E69" s="10">
        <v>4.9043202028130022</v>
      </c>
      <c r="F69" s="10">
        <v>4.9043202028130022</v>
      </c>
      <c r="G69" s="10">
        <v>4.9043202028130022</v>
      </c>
    </row>
    <row r="70" spans="1:7" ht="24" customHeight="1">
      <c r="A70" s="9">
        <v>45716</v>
      </c>
      <c r="B70" s="10">
        <v>7.8212702079999996</v>
      </c>
      <c r="C70" s="10">
        <v>7.8212702079999996</v>
      </c>
      <c r="D70" s="10">
        <v>7.8212702079999996</v>
      </c>
      <c r="E70" s="10">
        <v>12.725590410813002</v>
      </c>
      <c r="F70" s="10">
        <v>12.725590410813002</v>
      </c>
      <c r="G70" s="10">
        <v>12.725590410813002</v>
      </c>
    </row>
    <row r="71" spans="1:7" ht="24" customHeight="1">
      <c r="A71" s="9">
        <v>45747</v>
      </c>
      <c r="B71" s="10">
        <v>0.54419611699999992</v>
      </c>
      <c r="C71" s="10">
        <v>0.54419611699999992</v>
      </c>
      <c r="D71" s="10">
        <v>0.54419611699999992</v>
      </c>
      <c r="E71" s="10">
        <v>13.269786527813002</v>
      </c>
      <c r="F71" s="10">
        <v>13.269786527813002</v>
      </c>
      <c r="G71" s="10">
        <v>13.269786527813002</v>
      </c>
    </row>
    <row r="72" spans="1:7" ht="24" customHeight="1">
      <c r="A72" s="9">
        <v>45777</v>
      </c>
      <c r="B72" s="10">
        <v>1.0448447697000107</v>
      </c>
      <c r="C72" s="10">
        <v>1.0448447697000107</v>
      </c>
      <c r="D72" s="10">
        <v>1.0448447697000107</v>
      </c>
      <c r="E72" s="10">
        <v>14.314631297513014</v>
      </c>
      <c r="F72" s="10">
        <v>14.314631297513014</v>
      </c>
      <c r="G72" s="10">
        <v>14.314631297513014</v>
      </c>
    </row>
    <row r="73" spans="1:7" ht="24" customHeight="1">
      <c r="A73" s="9">
        <v>45808</v>
      </c>
      <c r="B73" s="10">
        <v>0.14586465999999998</v>
      </c>
      <c r="C73" s="10">
        <v>0.14586465999999998</v>
      </c>
      <c r="D73" s="10">
        <v>0.14586465999999998</v>
      </c>
      <c r="E73" s="10">
        <v>14.460495957513015</v>
      </c>
      <c r="F73" s="10">
        <v>14.460495957513015</v>
      </c>
      <c r="G73" s="10">
        <v>14.460495957513015</v>
      </c>
    </row>
    <row r="74" spans="1:7" ht="24" customHeight="1">
      <c r="A74" s="9">
        <v>45838</v>
      </c>
      <c r="B74" s="10">
        <v>0.13710999299999999</v>
      </c>
      <c r="C74" s="10">
        <v>0.13710999299999999</v>
      </c>
      <c r="D74" s="10">
        <v>0.13710999299999999</v>
      </c>
      <c r="E74" s="10">
        <v>14.597605950513014</v>
      </c>
      <c r="F74" s="10">
        <v>14.597605950513014</v>
      </c>
      <c r="G74" s="10">
        <v>14.597605950513014</v>
      </c>
    </row>
    <row r="75" spans="1:7" ht="24" customHeight="1">
      <c r="A75" s="9">
        <v>45869</v>
      </c>
      <c r="B75" s="10">
        <v>5.1838148560000992</v>
      </c>
      <c r="C75" s="10">
        <v>5.1838148560000992</v>
      </c>
      <c r="D75" s="10">
        <v>5.1838148560000992</v>
      </c>
      <c r="E75" s="10">
        <v>19.781420806513111</v>
      </c>
      <c r="F75" s="10">
        <v>19.781420806513111</v>
      </c>
      <c r="G75" s="10">
        <v>19.781420806513111</v>
      </c>
    </row>
    <row r="76" spans="1:7" ht="24" customHeight="1">
      <c r="A76" s="9">
        <v>45900</v>
      </c>
      <c r="B76" s="10">
        <v>0.90027698919999999</v>
      </c>
      <c r="C76" s="10">
        <v>0.90027698919999999</v>
      </c>
      <c r="D76" s="10">
        <v>0.90027698919999999</v>
      </c>
      <c r="E76" s="10">
        <v>20.681697795713113</v>
      </c>
      <c r="F76" s="10">
        <v>20.681697795713113</v>
      </c>
      <c r="G76" s="10">
        <v>20.681697795713113</v>
      </c>
    </row>
    <row r="77" spans="1:7" ht="24" customHeight="1">
      <c r="A77" s="9">
        <v>45930</v>
      </c>
      <c r="B77" s="10">
        <v>0.38950057999999999</v>
      </c>
      <c r="C77" s="10">
        <v>0.38950057999999999</v>
      </c>
      <c r="D77" s="10">
        <v>0.38950057999999999</v>
      </c>
      <c r="E77" s="10">
        <v>21.071198375713113</v>
      </c>
      <c r="F77" s="10">
        <v>21.071198375713113</v>
      </c>
      <c r="G77" s="10">
        <v>21.071198375713113</v>
      </c>
    </row>
    <row r="78" spans="1:7" ht="24" customHeight="1">
      <c r="A78" s="9">
        <v>45961</v>
      </c>
      <c r="B78" s="10">
        <v>0.18608960999999999</v>
      </c>
      <c r="C78" s="10">
        <v>0.18608960999999999</v>
      </c>
      <c r="D78" s="10">
        <v>0.18608960999999999</v>
      </c>
      <c r="E78" s="10">
        <v>21.257287985713113</v>
      </c>
      <c r="F78" s="10">
        <v>21.257287985713113</v>
      </c>
      <c r="G78" s="10">
        <v>21.257287985713113</v>
      </c>
    </row>
    <row r="79" spans="1:7" ht="24" customHeight="1">
      <c r="A79" s="9">
        <v>45991</v>
      </c>
      <c r="B79" s="10">
        <v>1.0999999999999999E-2</v>
      </c>
      <c r="C79" s="10">
        <v>1.0999999999999999E-2</v>
      </c>
      <c r="D79" s="10">
        <v>1.0999999999999999E-2</v>
      </c>
      <c r="E79" s="10">
        <v>21.268287985713112</v>
      </c>
      <c r="F79" s="10">
        <v>21.268287985713112</v>
      </c>
      <c r="G79" s="10">
        <v>21.268287985713112</v>
      </c>
    </row>
    <row r="80" spans="1:7" ht="24" customHeight="1">
      <c r="A80" s="9">
        <v>46022</v>
      </c>
      <c r="B80" s="10">
        <v>1.5199999999999998E-2</v>
      </c>
      <c r="C80" s="10">
        <v>1.5199999999999998E-2</v>
      </c>
      <c r="D80" s="10">
        <v>1.5199999999999998E-2</v>
      </c>
      <c r="E80" s="10">
        <v>21.283487985713112</v>
      </c>
      <c r="F80" s="10">
        <v>21.283487985713112</v>
      </c>
      <c r="G80" s="10">
        <v>21.283487985713112</v>
      </c>
    </row>
    <row r="81" spans="1:7" ht="24" customHeight="1">
      <c r="A81" s="9">
        <v>46053</v>
      </c>
      <c r="B81" s="10">
        <v>3.3268858272193071</v>
      </c>
      <c r="C81" s="10">
        <v>3.3268858272193071</v>
      </c>
      <c r="D81" s="10">
        <v>3.3268858272193071</v>
      </c>
      <c r="E81" s="10">
        <v>24.610373812932419</v>
      </c>
      <c r="F81" s="10">
        <v>24.610373812932419</v>
      </c>
      <c r="G81" s="10">
        <v>24.610373812932419</v>
      </c>
    </row>
    <row r="82" spans="1:7" ht="24" customHeight="1">
      <c r="A82" s="9">
        <v>46081</v>
      </c>
      <c r="B82" s="10">
        <v>2.9680983292928498</v>
      </c>
      <c r="C82" s="10">
        <v>2.9680983292928498</v>
      </c>
      <c r="D82" s="10">
        <v>2.9680983292928498</v>
      </c>
      <c r="E82" s="10">
        <v>27.578472142225269</v>
      </c>
      <c r="F82" s="10">
        <v>27.578472142225269</v>
      </c>
      <c r="G82" s="10">
        <v>27.578472142225269</v>
      </c>
    </row>
    <row r="83" spans="1:7" ht="24" customHeight="1">
      <c r="A83" s="9">
        <v>46112</v>
      </c>
      <c r="B83" s="10">
        <v>2.2506298552818151</v>
      </c>
      <c r="C83" s="10">
        <v>2.2506298552818151</v>
      </c>
      <c r="D83" s="10">
        <v>2.2506298552818151</v>
      </c>
      <c r="E83" s="10">
        <v>29.829101997507085</v>
      </c>
      <c r="F83" s="10">
        <v>29.829101997507085</v>
      </c>
      <c r="G83" s="10">
        <v>29.829101997507085</v>
      </c>
    </row>
    <row r="84" spans="1:7" ht="24" customHeight="1">
      <c r="A84" s="9">
        <v>46142</v>
      </c>
      <c r="B84" s="10">
        <v>2.5839121702224759</v>
      </c>
      <c r="C84" s="10">
        <v>2.5839121702224759</v>
      </c>
      <c r="D84" s="10">
        <v>2.5839121702224759</v>
      </c>
      <c r="E84" s="10">
        <v>32.413014167729557</v>
      </c>
      <c r="F84" s="10">
        <v>32.413014167729557</v>
      </c>
      <c r="G84" s="10">
        <v>32.413014167729557</v>
      </c>
    </row>
    <row r="85" spans="1:7" ht="24" customHeight="1">
      <c r="A85" s="9">
        <v>46173</v>
      </c>
      <c r="B85" s="10">
        <v>2.350187920315165</v>
      </c>
      <c r="C85" s="10">
        <v>2.350187920315165</v>
      </c>
      <c r="D85" s="10">
        <v>2.350187920315165</v>
      </c>
      <c r="E85" s="10">
        <v>34.763202088044721</v>
      </c>
      <c r="F85" s="10">
        <v>34.763202088044721</v>
      </c>
      <c r="G85" s="10">
        <v>34.763202088044721</v>
      </c>
    </row>
    <row r="86" spans="1:7" ht="24" customHeight="1">
      <c r="A86" s="9">
        <v>46203</v>
      </c>
      <c r="B86" s="10">
        <v>3.2449203419315471</v>
      </c>
      <c r="C86" s="10">
        <v>3.2449203419315471</v>
      </c>
      <c r="D86" s="10">
        <v>3.2449203419315471</v>
      </c>
      <c r="E86" s="10">
        <v>38.008122429976268</v>
      </c>
      <c r="F86" s="10">
        <v>38.008122429976268</v>
      </c>
      <c r="G86" s="10">
        <v>38.008122429976268</v>
      </c>
    </row>
    <row r="87" spans="1:7" ht="24" customHeight="1">
      <c r="A87" s="9">
        <v>46234</v>
      </c>
      <c r="B87" s="10">
        <v>2.884767161960923</v>
      </c>
      <c r="C87" s="10">
        <v>2.884767161960923</v>
      </c>
      <c r="D87" s="10">
        <v>2.884767161960923</v>
      </c>
      <c r="E87" s="10">
        <v>40.892889591937191</v>
      </c>
      <c r="F87" s="10">
        <v>40.892889591937191</v>
      </c>
      <c r="G87" s="10">
        <v>40.892889591937191</v>
      </c>
    </row>
    <row r="88" spans="1:7" ht="24" customHeight="1">
      <c r="A88" s="9">
        <v>46265</v>
      </c>
      <c r="B88" s="10">
        <v>3.428181464656483</v>
      </c>
      <c r="C88" s="10">
        <v>3.428181464656483</v>
      </c>
      <c r="D88" s="10">
        <v>3.428181464656483</v>
      </c>
      <c r="E88" s="10">
        <v>44.321071056593674</v>
      </c>
      <c r="F88" s="10">
        <v>44.321071056593674</v>
      </c>
      <c r="G88" s="10">
        <v>44.321071056593674</v>
      </c>
    </row>
    <row r="89" spans="1:7" ht="24" customHeight="1">
      <c r="A89" s="9">
        <v>46295</v>
      </c>
      <c r="B89" s="10">
        <v>3.2182096086848868</v>
      </c>
      <c r="C89" s="10">
        <v>3.2182096086848868</v>
      </c>
      <c r="D89" s="10">
        <v>3.2182096086848868</v>
      </c>
      <c r="E89" s="10">
        <v>47.539280665278561</v>
      </c>
      <c r="F89" s="10">
        <v>47.539280665278561</v>
      </c>
      <c r="G89" s="10">
        <v>47.539280665278561</v>
      </c>
    </row>
    <row r="90" spans="1:7" ht="24" customHeight="1">
      <c r="A90" s="9">
        <v>46326</v>
      </c>
      <c r="B90" s="10">
        <v>3.66400713456057</v>
      </c>
      <c r="C90" s="10">
        <v>3.66400713456057</v>
      </c>
      <c r="D90" s="10">
        <v>3.66400713456057</v>
      </c>
      <c r="E90" s="10">
        <v>51.203287799839131</v>
      </c>
      <c r="F90" s="10">
        <v>51.203287799839131</v>
      </c>
      <c r="G90" s="10">
        <v>51.203287799839131</v>
      </c>
    </row>
    <row r="91" spans="1:7" ht="24" customHeight="1">
      <c r="A91" s="9">
        <v>46356</v>
      </c>
      <c r="B91" s="10">
        <v>5.0424738531270634</v>
      </c>
      <c r="C91" s="10">
        <v>5.0424738531270634</v>
      </c>
      <c r="D91" s="10">
        <v>5.0424738531270634</v>
      </c>
      <c r="E91" s="10">
        <v>56.245761652966195</v>
      </c>
      <c r="F91" s="10">
        <v>56.245761652966195</v>
      </c>
      <c r="G91" s="10">
        <v>56.245761652966195</v>
      </c>
    </row>
    <row r="92" spans="1:7" ht="24" customHeight="1">
      <c r="A92" s="9">
        <v>46387</v>
      </c>
      <c r="B92" s="10">
        <v>5.1145214131421426</v>
      </c>
      <c r="C92" s="10">
        <v>5.1145214131421426</v>
      </c>
      <c r="D92" s="10">
        <v>5.1145214131421426</v>
      </c>
      <c r="E92" s="10">
        <v>61.360283066108337</v>
      </c>
      <c r="F92" s="10">
        <v>61.360283066108337</v>
      </c>
      <c r="G92" s="10">
        <v>61.360283066108337</v>
      </c>
    </row>
    <row r="93" spans="1:7" ht="24" customHeight="1">
      <c r="A93" s="9">
        <v>46418</v>
      </c>
      <c r="B93" s="10">
        <v>4.39329490454449</v>
      </c>
      <c r="C93" s="10">
        <v>4.39329490454449</v>
      </c>
      <c r="D93" s="10">
        <v>4.39329490454449</v>
      </c>
      <c r="E93" s="10">
        <v>65.753577970652827</v>
      </c>
      <c r="F93" s="10">
        <v>65.753577970652827</v>
      </c>
      <c r="G93" s="10">
        <v>65.753577970652827</v>
      </c>
    </row>
    <row r="94" spans="1:7" ht="24" customHeight="1">
      <c r="A94" s="9">
        <v>46446</v>
      </c>
      <c r="B94" s="10">
        <v>4.4418730036607172</v>
      </c>
      <c r="C94" s="10">
        <v>4.4418730036607172</v>
      </c>
      <c r="D94" s="10">
        <v>4.4418730036607172</v>
      </c>
      <c r="E94" s="10">
        <v>70.195450974313545</v>
      </c>
      <c r="F94" s="10">
        <v>70.195450974313545</v>
      </c>
      <c r="G94" s="10">
        <v>70.195450974313545</v>
      </c>
    </row>
    <row r="95" spans="1:7" ht="24" customHeight="1">
      <c r="A95" s="9">
        <v>46477</v>
      </c>
      <c r="B95" s="10">
        <v>4.2843720709056043</v>
      </c>
      <c r="C95" s="10">
        <v>4.2843720709056043</v>
      </c>
      <c r="D95" s="10">
        <v>4.2843720709056043</v>
      </c>
      <c r="E95" s="10">
        <v>74.479823045219149</v>
      </c>
      <c r="F95" s="10">
        <v>74.479823045219149</v>
      </c>
      <c r="G95" s="10">
        <v>74.479823045219149</v>
      </c>
    </row>
    <row r="96" spans="1:7" ht="24" customHeight="1">
      <c r="A96" s="9">
        <v>46507</v>
      </c>
      <c r="B96" s="10">
        <v>5.7853037193854391</v>
      </c>
      <c r="C96" s="10">
        <v>5.7853037193854391</v>
      </c>
      <c r="D96" s="10">
        <v>5.7853037193854391</v>
      </c>
      <c r="E96" s="10">
        <v>80.265126764604588</v>
      </c>
      <c r="F96" s="10">
        <v>80.265126764604588</v>
      </c>
      <c r="G96" s="10">
        <v>80.265126764604588</v>
      </c>
    </row>
    <row r="97" spans="1:7" ht="24" customHeight="1">
      <c r="A97" s="9">
        <v>46538</v>
      </c>
      <c r="B97" s="10">
        <v>7.4108967742650833</v>
      </c>
      <c r="C97" s="10">
        <v>7.4108967742650833</v>
      </c>
      <c r="D97" s="10">
        <v>7.4108967742650833</v>
      </c>
      <c r="E97" s="10">
        <v>87.676023538869671</v>
      </c>
      <c r="F97" s="10">
        <v>87.676023538869671</v>
      </c>
      <c r="G97" s="10">
        <v>87.676023538869671</v>
      </c>
    </row>
    <row r="98" spans="1:7" ht="24" customHeight="1">
      <c r="A98" s="9">
        <v>46568</v>
      </c>
      <c r="B98" s="10">
        <v>7.6053987884066876</v>
      </c>
      <c r="C98" s="10">
        <v>7.6053987884066876</v>
      </c>
      <c r="D98" s="10">
        <v>7.6053987884066876</v>
      </c>
      <c r="E98" s="10">
        <v>95.28142232727636</v>
      </c>
      <c r="F98" s="10">
        <v>95.28142232727636</v>
      </c>
      <c r="G98" s="10">
        <v>95.28142232727636</v>
      </c>
    </row>
    <row r="99" spans="1:7" ht="24" customHeight="1">
      <c r="A99" s="9">
        <v>46599</v>
      </c>
      <c r="B99" s="10">
        <v>6.7128820971105512</v>
      </c>
      <c r="C99" s="10">
        <v>6.7128820971105512</v>
      </c>
      <c r="D99" s="10">
        <v>6.7128820971105512</v>
      </c>
      <c r="E99" s="10">
        <v>101.99430442438691</v>
      </c>
      <c r="F99" s="10">
        <v>101.99430442438691</v>
      </c>
      <c r="G99" s="10">
        <v>101.99430442438691</v>
      </c>
    </row>
    <row r="100" spans="1:7" ht="24" customHeight="1">
      <c r="A100" s="9">
        <v>46630</v>
      </c>
      <c r="B100" s="10">
        <v>6.2190827062446488</v>
      </c>
      <c r="C100" s="10">
        <v>6.2190827062446488</v>
      </c>
      <c r="D100" s="10">
        <v>6.2190827062446488</v>
      </c>
      <c r="E100" s="10">
        <v>108.21338713063156</v>
      </c>
      <c r="F100" s="10">
        <v>108.21338713063156</v>
      </c>
      <c r="G100" s="10">
        <v>108.21338713063156</v>
      </c>
    </row>
    <row r="101" spans="1:7" ht="24" customHeight="1">
      <c r="A101" s="9">
        <v>46660</v>
      </c>
      <c r="B101" s="10">
        <v>5.8543046845182403</v>
      </c>
      <c r="C101" s="10">
        <v>5.8543046845182403</v>
      </c>
      <c r="D101" s="10">
        <v>5.8543046845182403</v>
      </c>
      <c r="E101" s="10">
        <v>114.0676918151498</v>
      </c>
      <c r="F101" s="10">
        <v>114.0676918151498</v>
      </c>
      <c r="G101" s="10">
        <v>114.0676918151498</v>
      </c>
    </row>
    <row r="102" spans="1:7" ht="24" customHeight="1">
      <c r="A102" s="9">
        <v>46691</v>
      </c>
      <c r="B102" s="10">
        <v>7.5392156378457864</v>
      </c>
      <c r="C102" s="10">
        <v>7.5392156378457864</v>
      </c>
      <c r="D102" s="10">
        <v>7.5392156378457864</v>
      </c>
      <c r="E102" s="10">
        <v>121.60690745299559</v>
      </c>
      <c r="F102" s="10">
        <v>121.60690745299559</v>
      </c>
      <c r="G102" s="10">
        <v>121.60690745299559</v>
      </c>
    </row>
    <row r="103" spans="1:7" ht="24" customHeight="1">
      <c r="A103" s="9">
        <v>46721</v>
      </c>
      <c r="B103" s="10">
        <v>9.2385808502151008</v>
      </c>
      <c r="C103" s="10">
        <v>9.2385808502151008</v>
      </c>
      <c r="D103" s="10">
        <v>9.2385808502151008</v>
      </c>
      <c r="E103" s="10">
        <v>130.84548830321069</v>
      </c>
      <c r="F103" s="10">
        <v>130.84548830321069</v>
      </c>
      <c r="G103" s="10">
        <v>130.84548830321069</v>
      </c>
    </row>
    <row r="104" spans="1:7" ht="24" customHeight="1">
      <c r="A104" s="9">
        <v>46752</v>
      </c>
      <c r="B104" s="10">
        <v>9.8280601218457093</v>
      </c>
      <c r="C104" s="10">
        <v>9.8280601218457093</v>
      </c>
      <c r="D104" s="10">
        <v>9.8280601218457093</v>
      </c>
      <c r="E104" s="10">
        <v>140.6735484250564</v>
      </c>
      <c r="F104" s="10">
        <v>140.6735484250564</v>
      </c>
      <c r="G104" s="10">
        <v>140.6735484250564</v>
      </c>
    </row>
    <row r="105" spans="1:7" ht="24" customHeight="1">
      <c r="A105" s="9">
        <v>46783</v>
      </c>
      <c r="B105" s="10">
        <v>6.9548942119863284</v>
      </c>
      <c r="C105" s="10">
        <v>6.9548942119863284</v>
      </c>
      <c r="D105" s="10">
        <v>6.9548942119863284</v>
      </c>
      <c r="E105" s="10">
        <v>147.62844263704272</v>
      </c>
      <c r="F105" s="10">
        <v>147.62844263704272</v>
      </c>
      <c r="G105" s="10">
        <v>147.62844263704272</v>
      </c>
    </row>
    <row r="106" spans="1:7" ht="24" customHeight="1">
      <c r="A106" s="9">
        <v>46812</v>
      </c>
      <c r="B106" s="10">
        <v>8.085187905599895</v>
      </c>
      <c r="C106" s="10">
        <v>8.085187905599895</v>
      </c>
      <c r="D106" s="10">
        <v>8.085187905599895</v>
      </c>
      <c r="E106" s="10">
        <v>155.71363054264262</v>
      </c>
      <c r="F106" s="10">
        <v>155.71363054264262</v>
      </c>
      <c r="G106" s="10">
        <v>155.71363054264262</v>
      </c>
    </row>
    <row r="107" spans="1:7" ht="24" customHeight="1">
      <c r="A107" s="9">
        <v>46843</v>
      </c>
      <c r="B107" s="10">
        <v>8.3101995348625906</v>
      </c>
      <c r="C107" s="10">
        <v>8.3101995348625906</v>
      </c>
      <c r="D107" s="10">
        <v>8.3101995348625906</v>
      </c>
      <c r="E107" s="10">
        <v>164.02383007750521</v>
      </c>
      <c r="F107" s="10">
        <v>164.02383007750521</v>
      </c>
      <c r="G107" s="10">
        <v>164.02383007750521</v>
      </c>
    </row>
    <row r="108" spans="1:7" ht="24" customHeight="1">
      <c r="A108" s="9">
        <v>46873</v>
      </c>
      <c r="B108" s="10">
        <v>8.4597073932457647</v>
      </c>
      <c r="C108" s="10">
        <v>8.4597073932457647</v>
      </c>
      <c r="D108" s="10">
        <v>8.4597073932457647</v>
      </c>
      <c r="E108" s="10">
        <v>172.48353747075097</v>
      </c>
      <c r="F108" s="10">
        <v>172.48353747075097</v>
      </c>
      <c r="G108" s="10">
        <v>172.48353747075097</v>
      </c>
    </row>
    <row r="109" spans="1:7" ht="24" customHeight="1">
      <c r="A109" s="9">
        <v>46904</v>
      </c>
      <c r="B109" s="10">
        <v>7.775880809273616</v>
      </c>
      <c r="C109" s="10">
        <v>7.775880809273616</v>
      </c>
      <c r="D109" s="10">
        <v>7.775880809273616</v>
      </c>
      <c r="E109" s="10">
        <v>180.25941828002459</v>
      </c>
      <c r="F109" s="10">
        <v>180.25941828002459</v>
      </c>
      <c r="G109" s="10">
        <v>180.25941828002459</v>
      </c>
    </row>
    <row r="110" spans="1:7" ht="24" customHeight="1">
      <c r="A110" s="9">
        <v>46934</v>
      </c>
      <c r="B110" s="10">
        <v>9.6805586343168386</v>
      </c>
      <c r="C110" s="10">
        <v>9.6805586343168386</v>
      </c>
      <c r="D110" s="10">
        <v>9.6805586343168386</v>
      </c>
      <c r="E110" s="10">
        <v>189.93997691434143</v>
      </c>
      <c r="F110" s="10">
        <v>189.93997691434143</v>
      </c>
      <c r="G110" s="10">
        <v>189.93997691434143</v>
      </c>
    </row>
    <row r="111" spans="1:7" ht="24" customHeight="1">
      <c r="A111" s="9">
        <v>46965</v>
      </c>
      <c r="B111" s="10">
        <v>10.542918813453131</v>
      </c>
      <c r="C111" s="10">
        <v>10.542918813453131</v>
      </c>
      <c r="D111" s="10">
        <v>10.542918813453131</v>
      </c>
      <c r="E111" s="10">
        <v>200.48289572779456</v>
      </c>
      <c r="F111" s="10">
        <v>200.48289572779456</v>
      </c>
      <c r="G111" s="10">
        <v>200.48289572779456</v>
      </c>
    </row>
    <row r="112" spans="1:7" ht="24" customHeight="1">
      <c r="A112" s="9">
        <v>46996</v>
      </c>
      <c r="B112" s="10">
        <v>8.0468620623737763</v>
      </c>
      <c r="C112" s="10">
        <v>8.0468620623737763</v>
      </c>
      <c r="D112" s="10">
        <v>8.0468620623737763</v>
      </c>
      <c r="E112" s="10">
        <v>208.52975779016833</v>
      </c>
      <c r="F112" s="10">
        <v>208.52975779016833</v>
      </c>
      <c r="G112" s="10">
        <v>208.52975779016833</v>
      </c>
    </row>
    <row r="113" spans="1:7" ht="24" customHeight="1">
      <c r="A113" s="9">
        <v>47026</v>
      </c>
      <c r="B113" s="10">
        <v>7.5104147674762203</v>
      </c>
      <c r="C113" s="10">
        <v>7.5104147674762203</v>
      </c>
      <c r="D113" s="10">
        <v>7.5104147674762203</v>
      </c>
      <c r="E113" s="10">
        <v>216.04017255764455</v>
      </c>
      <c r="F113" s="10">
        <v>216.04017255764455</v>
      </c>
      <c r="G113" s="10">
        <v>216.04017255764455</v>
      </c>
    </row>
    <row r="114" spans="1:7" ht="24" customHeight="1">
      <c r="A114" s="9">
        <v>47057</v>
      </c>
      <c r="B114" s="10">
        <v>7.3119883780305486</v>
      </c>
      <c r="C114" s="10">
        <v>7.3119883780305486</v>
      </c>
      <c r="D114" s="10">
        <v>7.3119883780305486</v>
      </c>
      <c r="E114" s="10">
        <v>223.3521609356751</v>
      </c>
      <c r="F114" s="10">
        <v>223.3521609356751</v>
      </c>
      <c r="G114" s="10">
        <v>223.3521609356751</v>
      </c>
    </row>
    <row r="115" spans="1:7" ht="24" customHeight="1">
      <c r="A115" s="9">
        <v>47087</v>
      </c>
      <c r="B115" s="10">
        <v>7.7989038982413206</v>
      </c>
      <c r="C115" s="10">
        <v>7.7989038982413206</v>
      </c>
      <c r="D115" s="10">
        <v>7.7989038982413206</v>
      </c>
      <c r="E115" s="10">
        <v>231.15106483391642</v>
      </c>
      <c r="F115" s="10">
        <v>231.15106483391642</v>
      </c>
      <c r="G115" s="10">
        <v>231.15106483391642</v>
      </c>
    </row>
    <row r="116" spans="1:7" ht="24" customHeight="1">
      <c r="A116" s="9">
        <v>47118</v>
      </c>
      <c r="B116" s="10">
        <v>9.54313087800125</v>
      </c>
      <c r="C116" s="10">
        <v>9.54313087800125</v>
      </c>
      <c r="D116" s="10">
        <v>9.54313087800125</v>
      </c>
      <c r="E116" s="10">
        <v>240.69419571191767</v>
      </c>
      <c r="F116" s="10">
        <v>240.69419571191767</v>
      </c>
      <c r="G116" s="10">
        <v>240.69419571191767</v>
      </c>
    </row>
    <row r="117" spans="1:7" ht="24" customHeight="1">
      <c r="A117" s="9">
        <v>47149</v>
      </c>
      <c r="B117" s="10">
        <v>10.383606937562631</v>
      </c>
      <c r="C117" s="10">
        <v>10.383606937562631</v>
      </c>
      <c r="D117" s="10">
        <v>10.383606937562631</v>
      </c>
      <c r="E117" s="10">
        <v>251.0778026494803</v>
      </c>
      <c r="F117" s="10">
        <v>251.0778026494803</v>
      </c>
      <c r="G117" s="10">
        <v>251.0778026494803</v>
      </c>
    </row>
    <row r="118" spans="1:7" ht="24" customHeight="1">
      <c r="A118" s="9">
        <v>47177</v>
      </c>
      <c r="B118" s="10">
        <v>8.7957197251013781</v>
      </c>
      <c r="C118" s="10">
        <v>8.6505263760354865</v>
      </c>
      <c r="D118" s="10">
        <v>8.6505263760354865</v>
      </c>
      <c r="E118" s="10">
        <v>259.87352237458168</v>
      </c>
      <c r="F118" s="10">
        <v>259.72832902551579</v>
      </c>
      <c r="G118" s="10">
        <v>259.72832902551579</v>
      </c>
    </row>
    <row r="119" spans="1:7" ht="24" customHeight="1">
      <c r="A119" s="9">
        <v>47208</v>
      </c>
      <c r="B119" s="10">
        <v>8.7881404506611034</v>
      </c>
      <c r="C119" s="10">
        <v>10.075192702958869</v>
      </c>
      <c r="D119" s="10">
        <v>10.075192702958869</v>
      </c>
      <c r="E119" s="10">
        <v>268.66166282524279</v>
      </c>
      <c r="F119" s="10">
        <v>269.80352172847466</v>
      </c>
      <c r="G119" s="10">
        <v>269.80352172847466</v>
      </c>
    </row>
    <row r="120" spans="1:7" ht="24" customHeight="1">
      <c r="A120" s="9">
        <v>47238</v>
      </c>
      <c r="B120" s="10">
        <v>8.9348358539427295</v>
      </c>
      <c r="C120" s="10">
        <v>10.454889665247951</v>
      </c>
      <c r="D120" s="10">
        <v>10.454889665247951</v>
      </c>
      <c r="E120" s="10">
        <v>277.59649867918552</v>
      </c>
      <c r="F120" s="10">
        <v>280.25841139372261</v>
      </c>
      <c r="G120" s="10">
        <v>280.25841139372261</v>
      </c>
    </row>
    <row r="121" spans="1:7" ht="24" customHeight="1">
      <c r="A121" s="9">
        <v>47269</v>
      </c>
      <c r="B121" s="10">
        <v>8.7902538200235654</v>
      </c>
      <c r="C121" s="10">
        <v>9.3958223803757619</v>
      </c>
      <c r="D121" s="10">
        <v>9.3958223803757619</v>
      </c>
      <c r="E121" s="10">
        <v>286.38675249920908</v>
      </c>
      <c r="F121" s="10">
        <v>289.65423377409837</v>
      </c>
      <c r="G121" s="10">
        <v>289.65423377409837</v>
      </c>
    </row>
    <row r="122" spans="1:7" ht="24" customHeight="1">
      <c r="A122" s="9">
        <v>47299</v>
      </c>
      <c r="B122" s="10">
        <v>8.721895693252975</v>
      </c>
      <c r="C122" s="10">
        <v>8.2393259548384208</v>
      </c>
      <c r="D122" s="10">
        <v>8.2393259548384208</v>
      </c>
      <c r="E122" s="10">
        <v>295.10864819246206</v>
      </c>
      <c r="F122" s="10">
        <v>297.89355972893679</v>
      </c>
      <c r="G122" s="10">
        <v>297.89355972893679</v>
      </c>
    </row>
    <row r="123" spans="1:7" ht="24" customHeight="1">
      <c r="A123" s="9">
        <v>47330</v>
      </c>
      <c r="B123" s="10">
        <v>8.8172244901969634</v>
      </c>
      <c r="C123" s="10">
        <v>10.835326731659899</v>
      </c>
      <c r="D123" s="10">
        <v>10.835326731659899</v>
      </c>
      <c r="E123" s="10">
        <v>303.92587268265902</v>
      </c>
      <c r="F123" s="10">
        <v>308.7288864605967</v>
      </c>
      <c r="G123" s="10">
        <v>308.7288864605967</v>
      </c>
    </row>
    <row r="124" spans="1:7" ht="24" customHeight="1">
      <c r="A124" s="9">
        <v>47361</v>
      </c>
      <c r="B124" s="10">
        <v>8.3617187564782398</v>
      </c>
      <c r="C124" s="10">
        <v>14.25911978115249</v>
      </c>
      <c r="D124" s="10">
        <v>14.25911978115249</v>
      </c>
      <c r="E124" s="10">
        <v>312.28759143913726</v>
      </c>
      <c r="F124" s="10">
        <v>322.98800624174919</v>
      </c>
      <c r="G124" s="10">
        <v>322.98800624174919</v>
      </c>
    </row>
    <row r="125" spans="1:7" ht="24" customHeight="1">
      <c r="A125" s="9">
        <v>47391</v>
      </c>
      <c r="B125" s="10">
        <v>8.3930809272589499</v>
      </c>
      <c r="C125" s="10">
        <v>12.029464856087881</v>
      </c>
      <c r="D125" s="10">
        <v>12.029464856087881</v>
      </c>
      <c r="E125" s="10">
        <v>320.68067236639621</v>
      </c>
      <c r="F125" s="10">
        <v>335.01747109783707</v>
      </c>
      <c r="G125" s="10">
        <v>335.01747109783707</v>
      </c>
    </row>
    <row r="126" spans="1:7" ht="24" customHeight="1">
      <c r="A126" s="9">
        <v>47422</v>
      </c>
      <c r="B126" s="10">
        <v>8.6583774259115671</v>
      </c>
      <c r="C126" s="10">
        <v>12.818373683761481</v>
      </c>
      <c r="D126" s="10">
        <v>12.818373683761481</v>
      </c>
      <c r="E126" s="10">
        <v>329.33904979230778</v>
      </c>
      <c r="F126" s="10">
        <v>347.83584478159855</v>
      </c>
      <c r="G126" s="10">
        <v>347.83584478159855</v>
      </c>
    </row>
    <row r="127" spans="1:7" ht="24" customHeight="1">
      <c r="A127" s="9">
        <v>47452</v>
      </c>
      <c r="B127" s="10">
        <v>9.0744756002990243</v>
      </c>
      <c r="C127" s="10">
        <v>17.15041668777798</v>
      </c>
      <c r="D127" s="10">
        <v>17.15041668777798</v>
      </c>
      <c r="E127" s="10">
        <v>338.4135253926068</v>
      </c>
      <c r="F127" s="10">
        <v>364.98626146937653</v>
      </c>
      <c r="G127" s="10">
        <v>364.98626146937653</v>
      </c>
    </row>
    <row r="128" spans="1:7" ht="24" customHeight="1">
      <c r="A128" s="9">
        <v>47483</v>
      </c>
      <c r="B128" s="10">
        <v>9.2965095314729069</v>
      </c>
      <c r="C128" s="10">
        <v>11.218572362696991</v>
      </c>
      <c r="D128" s="10">
        <v>11.218572362696991</v>
      </c>
      <c r="E128" s="10">
        <v>347.71003492407971</v>
      </c>
      <c r="F128" s="10">
        <v>376.20483383207352</v>
      </c>
      <c r="G128" s="10">
        <v>376.20483383207352</v>
      </c>
    </row>
    <row r="129" spans="1:7" ht="24" customHeight="1">
      <c r="A129" s="9">
        <v>47514</v>
      </c>
      <c r="B129" s="10">
        <v>9.1395885773341092</v>
      </c>
      <c r="C129" s="10">
        <v>13.82654756906561</v>
      </c>
      <c r="D129" s="10">
        <v>13.82654756906561</v>
      </c>
      <c r="E129" s="10">
        <v>356.84962350141382</v>
      </c>
      <c r="F129" s="10">
        <v>390.03138140113913</v>
      </c>
      <c r="G129" s="10">
        <v>390.03138140113913</v>
      </c>
    </row>
    <row r="130" spans="1:7" ht="24" customHeight="1">
      <c r="A130" s="9">
        <v>47542</v>
      </c>
      <c r="B130" s="10">
        <v>8.7341352409921456</v>
      </c>
      <c r="C130" s="10">
        <v>16.9563680479792</v>
      </c>
      <c r="D130" s="10">
        <v>16.9563680479792</v>
      </c>
      <c r="E130" s="10">
        <v>365.58375874240596</v>
      </c>
      <c r="F130" s="10">
        <v>406.98774944911833</v>
      </c>
      <c r="G130" s="10">
        <v>406.98774944911833</v>
      </c>
    </row>
    <row r="131" spans="1:7" ht="24" customHeight="1">
      <c r="A131" s="9">
        <v>47573</v>
      </c>
      <c r="B131" s="10">
        <v>8.9012546457035455</v>
      </c>
      <c r="C131" s="10">
        <v>16.685380692952151</v>
      </c>
      <c r="D131" s="10">
        <v>16.685380692952151</v>
      </c>
      <c r="E131" s="10">
        <v>374.48501338810951</v>
      </c>
      <c r="F131" s="10">
        <v>423.67313014207048</v>
      </c>
      <c r="G131" s="10">
        <v>423.67313014207048</v>
      </c>
    </row>
    <row r="132" spans="1:7" ht="24" customHeight="1">
      <c r="A132" s="9">
        <v>47603</v>
      </c>
      <c r="B132" s="10">
        <v>8.6179727351357656</v>
      </c>
      <c r="C132" s="10">
        <v>14.91995630574576</v>
      </c>
      <c r="D132" s="10">
        <v>14.91995630574576</v>
      </c>
      <c r="E132" s="10">
        <v>383.10298612324527</v>
      </c>
      <c r="F132" s="10">
        <v>438.59308644781623</v>
      </c>
      <c r="G132" s="10">
        <v>438.59308644781623</v>
      </c>
    </row>
    <row r="133" spans="1:7" ht="24" customHeight="1">
      <c r="A133" s="9">
        <v>47634</v>
      </c>
      <c r="B133" s="10">
        <v>9.0966225661917974</v>
      </c>
      <c r="C133" s="10">
        <v>16.402063927886271</v>
      </c>
      <c r="D133" s="10">
        <v>16.402063927886271</v>
      </c>
      <c r="E133" s="10">
        <v>392.19960868943707</v>
      </c>
      <c r="F133" s="10">
        <v>454.99515037570251</v>
      </c>
      <c r="G133" s="10">
        <v>454.99515037570251</v>
      </c>
    </row>
    <row r="134" spans="1:7" ht="24" customHeight="1">
      <c r="A134" s="9">
        <v>47664</v>
      </c>
      <c r="B134" s="10">
        <v>8.9927650874686265</v>
      </c>
      <c r="C134" s="10">
        <v>17.52506532381307</v>
      </c>
      <c r="D134" s="10">
        <v>17.52506532381307</v>
      </c>
      <c r="E134" s="10">
        <v>401.1923737769057</v>
      </c>
      <c r="F134" s="10">
        <v>472.52021569951557</v>
      </c>
      <c r="G134" s="10">
        <v>472.52021569951557</v>
      </c>
    </row>
    <row r="135" spans="1:7" ht="24" customHeight="1">
      <c r="A135" s="9">
        <v>47695</v>
      </c>
      <c r="B135" s="10">
        <v>8.9341095499732432</v>
      </c>
      <c r="C135" s="10">
        <v>22.01578856530131</v>
      </c>
      <c r="D135" s="10">
        <v>22.01578856530131</v>
      </c>
      <c r="E135" s="10">
        <v>410.12648332687894</v>
      </c>
      <c r="F135" s="10">
        <v>494.53600426481688</v>
      </c>
      <c r="G135" s="10">
        <v>494.53600426481688</v>
      </c>
    </row>
    <row r="136" spans="1:7" ht="24" customHeight="1">
      <c r="A136" s="9">
        <v>47726</v>
      </c>
      <c r="B136" s="10">
        <v>8.7866364953072775</v>
      </c>
      <c r="C136" s="10">
        <v>19.17173311450853</v>
      </c>
      <c r="D136" s="10">
        <v>19.17173311450853</v>
      </c>
      <c r="E136" s="10">
        <v>418.91311982218622</v>
      </c>
      <c r="F136" s="10">
        <v>513.70773737932541</v>
      </c>
      <c r="G136" s="10">
        <v>513.70773737932541</v>
      </c>
    </row>
    <row r="137" spans="1:7" ht="24" customHeight="1">
      <c r="A137" s="9">
        <v>47756</v>
      </c>
      <c r="B137" s="10">
        <v>9.0825739370160932</v>
      </c>
      <c r="C137" s="10">
        <v>19.30469322169915</v>
      </c>
      <c r="D137" s="10">
        <v>19.30469322169915</v>
      </c>
      <c r="E137" s="10">
        <v>427.99569375920231</v>
      </c>
      <c r="F137" s="10">
        <v>533.01243060102456</v>
      </c>
      <c r="G137" s="10">
        <v>533.01243060102456</v>
      </c>
    </row>
    <row r="138" spans="1:7" ht="24" customHeight="1">
      <c r="A138" s="9">
        <v>47787</v>
      </c>
      <c r="B138" s="10">
        <v>8.9983537277175856</v>
      </c>
      <c r="C138" s="10">
        <v>15.1167853662364</v>
      </c>
      <c r="D138" s="10">
        <v>15.1167853662364</v>
      </c>
      <c r="E138" s="10">
        <v>436.9940474869199</v>
      </c>
      <c r="F138" s="10">
        <v>548.12921596726096</v>
      </c>
      <c r="G138" s="10">
        <v>548.12921596726096</v>
      </c>
    </row>
    <row r="139" spans="1:7" ht="24" customHeight="1">
      <c r="A139" s="9">
        <v>47817</v>
      </c>
      <c r="B139" s="10">
        <v>9.0688297957215127</v>
      </c>
      <c r="C139" s="10">
        <v>18.07165196578012</v>
      </c>
      <c r="D139" s="10">
        <v>18.07165196578012</v>
      </c>
      <c r="E139" s="10">
        <v>446.06287728264141</v>
      </c>
      <c r="F139" s="10">
        <v>566.20086793304108</v>
      </c>
      <c r="G139" s="10">
        <v>566.20086793304108</v>
      </c>
    </row>
    <row r="140" spans="1:7" ht="24" customHeight="1">
      <c r="A140" s="9">
        <v>47848</v>
      </c>
      <c r="B140" s="10">
        <v>9.1016900429283396</v>
      </c>
      <c r="C140" s="10">
        <v>15.850386153552339</v>
      </c>
      <c r="D140" s="10">
        <v>15.850386153552339</v>
      </c>
      <c r="E140" s="10">
        <v>455.16456732556975</v>
      </c>
      <c r="F140" s="10">
        <v>582.05125408659342</v>
      </c>
      <c r="G140" s="10">
        <v>582.05125408659342</v>
      </c>
    </row>
    <row r="141" spans="1:7" ht="24" customHeight="1">
      <c r="A141" s="9">
        <v>47879</v>
      </c>
      <c r="B141" s="10">
        <v>8.886376279370154</v>
      </c>
      <c r="C141" s="10">
        <v>14.61750037385025</v>
      </c>
      <c r="D141" s="10">
        <v>14.61750037385025</v>
      </c>
      <c r="E141" s="10">
        <v>464.0509436049399</v>
      </c>
      <c r="F141" s="10">
        <v>596.66875446044367</v>
      </c>
      <c r="G141" s="10">
        <v>596.66875446044367</v>
      </c>
    </row>
    <row r="142" spans="1:7" ht="24" customHeight="1">
      <c r="A142" s="9">
        <v>47907</v>
      </c>
      <c r="B142" s="10">
        <v>8.9169731501769434</v>
      </c>
      <c r="C142" s="10">
        <v>17.139423568244521</v>
      </c>
      <c r="D142" s="10">
        <v>13.5685553906618</v>
      </c>
      <c r="E142" s="10">
        <v>472.96791675511685</v>
      </c>
      <c r="F142" s="10">
        <v>613.80817802868819</v>
      </c>
      <c r="G142" s="10">
        <v>610.23730985110546</v>
      </c>
    </row>
    <row r="143" spans="1:7" ht="24" customHeight="1">
      <c r="A143" s="9">
        <v>47938</v>
      </c>
      <c r="B143" s="10">
        <v>8.9463551192708906</v>
      </c>
      <c r="C143" s="10">
        <v>17.43414021492481</v>
      </c>
      <c r="D143" s="10">
        <v>17.603675115533061</v>
      </c>
      <c r="E143" s="10">
        <v>481.91427187438774</v>
      </c>
      <c r="F143" s="10">
        <v>631.242318243613</v>
      </c>
      <c r="G143" s="10">
        <v>627.84098496663853</v>
      </c>
    </row>
    <row r="144" spans="1:7" ht="24" customHeight="1">
      <c r="A144" s="9">
        <v>47968</v>
      </c>
      <c r="B144" s="10">
        <v>9.1793383382510001</v>
      </c>
      <c r="C144" s="10">
        <v>17.17929815256559</v>
      </c>
      <c r="D144" s="10">
        <v>17.224809576499869</v>
      </c>
      <c r="E144" s="10">
        <v>491.09361021263874</v>
      </c>
      <c r="F144" s="10">
        <v>648.42161639617859</v>
      </c>
      <c r="G144" s="10">
        <v>645.0657945431384</v>
      </c>
    </row>
    <row r="145" spans="1:7" ht="24" customHeight="1">
      <c r="A145" s="9">
        <v>47999</v>
      </c>
      <c r="B145" s="10">
        <v>9.1001483770380105</v>
      </c>
      <c r="C145" s="10">
        <v>17.54249095735349</v>
      </c>
      <c r="D145" s="10">
        <v>16.30884636863038</v>
      </c>
      <c r="E145" s="10">
        <v>500.19375858967675</v>
      </c>
      <c r="F145" s="10">
        <v>665.96410735353209</v>
      </c>
      <c r="G145" s="10">
        <v>661.37464091176878</v>
      </c>
    </row>
    <row r="146" spans="1:7" ht="24" customHeight="1">
      <c r="A146" s="9">
        <v>48029</v>
      </c>
      <c r="B146" s="10">
        <v>9.1838071879115546</v>
      </c>
      <c r="C146" s="10">
        <v>17.782533997620131</v>
      </c>
      <c r="D146" s="10">
        <v>16.890858114696581</v>
      </c>
      <c r="E146" s="10">
        <v>509.3775657775883</v>
      </c>
      <c r="F146" s="10">
        <v>683.74664135115222</v>
      </c>
      <c r="G146" s="10">
        <v>678.26549902646536</v>
      </c>
    </row>
    <row r="147" spans="1:7" ht="24" customHeight="1">
      <c r="A147" s="9">
        <v>48060</v>
      </c>
      <c r="B147" s="10">
        <v>8.9447083111512029</v>
      </c>
      <c r="C147" s="10">
        <v>17.792887486653061</v>
      </c>
      <c r="D147" s="10">
        <v>17.523677861066179</v>
      </c>
      <c r="E147" s="10">
        <v>518.3222740887395</v>
      </c>
      <c r="F147" s="10">
        <v>701.53952883780528</v>
      </c>
      <c r="G147" s="10">
        <v>695.78917688753154</v>
      </c>
    </row>
    <row r="148" spans="1:7" ht="24" customHeight="1">
      <c r="A148" s="9">
        <v>48091</v>
      </c>
      <c r="B148" s="10">
        <v>8.6412735886985956</v>
      </c>
      <c r="C148" s="10">
        <v>17.183510197005031</v>
      </c>
      <c r="D148" s="10">
        <v>21.073351164253719</v>
      </c>
      <c r="E148" s="10">
        <v>526.9635476774381</v>
      </c>
      <c r="F148" s="10">
        <v>718.72303903481031</v>
      </c>
      <c r="G148" s="10">
        <v>716.86252805178526</v>
      </c>
    </row>
    <row r="149" spans="1:7" ht="24" customHeight="1">
      <c r="A149" s="9">
        <v>48121</v>
      </c>
      <c r="B149" s="10">
        <v>9.0189903475921938</v>
      </c>
      <c r="C149" s="10">
        <v>17.177870082228761</v>
      </c>
      <c r="D149" s="10">
        <v>24.21352693522249</v>
      </c>
      <c r="E149" s="10">
        <v>535.98253802503029</v>
      </c>
      <c r="F149" s="10">
        <v>735.90090911703908</v>
      </c>
      <c r="G149" s="10">
        <v>741.07605498700775</v>
      </c>
    </row>
    <row r="150" spans="1:7" ht="24" customHeight="1">
      <c r="A150" s="9">
        <v>48152</v>
      </c>
      <c r="B150" s="10">
        <v>8.9321930429056238</v>
      </c>
      <c r="C150" s="10">
        <v>17.501195292328699</v>
      </c>
      <c r="D150" s="10">
        <v>19.657684707341559</v>
      </c>
      <c r="E150" s="10">
        <v>544.91473106793592</v>
      </c>
      <c r="F150" s="10">
        <v>753.40210440936778</v>
      </c>
      <c r="G150" s="10">
        <v>760.73373969434931</v>
      </c>
    </row>
    <row r="151" spans="1:7" ht="24" customHeight="1">
      <c r="A151" s="9">
        <v>48182</v>
      </c>
      <c r="B151" s="10">
        <v>8.7891290437972884</v>
      </c>
      <c r="C151" s="10">
        <v>17.723423174170421</v>
      </c>
      <c r="D151" s="10">
        <v>21.90009786840119</v>
      </c>
      <c r="E151" s="10">
        <v>553.70386011173321</v>
      </c>
      <c r="F151" s="10">
        <v>771.1255275835382</v>
      </c>
      <c r="G151" s="10">
        <v>782.6338375627505</v>
      </c>
    </row>
    <row r="152" spans="1:7" ht="24" customHeight="1">
      <c r="A152" s="9">
        <v>48213</v>
      </c>
      <c r="B152" s="10">
        <v>8.6812636978719411</v>
      </c>
      <c r="C152" s="10">
        <v>17.630320621692139</v>
      </c>
      <c r="D152" s="10">
        <v>22.652585412474199</v>
      </c>
      <c r="E152" s="10">
        <v>562.38512380960515</v>
      </c>
      <c r="F152" s="10">
        <v>788.75584820523034</v>
      </c>
      <c r="G152" s="10">
        <v>805.2864229752247</v>
      </c>
    </row>
    <row r="153" spans="1:7" ht="24" customHeight="1">
      <c r="A153" s="9">
        <v>48244</v>
      </c>
      <c r="B153" s="10">
        <v>8.518350682084133</v>
      </c>
      <c r="C153" s="10">
        <v>17.346237744005521</v>
      </c>
      <c r="D153" s="10">
        <v>25.559725176153389</v>
      </c>
      <c r="E153" s="10">
        <v>570.90347449168928</v>
      </c>
      <c r="F153" s="10">
        <v>806.10208594923586</v>
      </c>
      <c r="G153" s="10">
        <v>830.84614815137809</v>
      </c>
    </row>
    <row r="154" spans="1:7" ht="24" customHeight="1">
      <c r="A154" s="9">
        <v>48273</v>
      </c>
      <c r="B154" s="10">
        <v>8.754673069456544</v>
      </c>
      <c r="C154" s="10">
        <v>17.157219454132701</v>
      </c>
      <c r="D154" s="10">
        <v>27.551925217234039</v>
      </c>
      <c r="E154" s="10">
        <v>579.65814756114582</v>
      </c>
      <c r="F154" s="10">
        <v>823.25930540336856</v>
      </c>
      <c r="G154" s="10">
        <v>858.39807336861213</v>
      </c>
    </row>
    <row r="155" spans="1:7" ht="24" customHeight="1">
      <c r="A155" s="9">
        <v>48304</v>
      </c>
      <c r="B155" s="10">
        <v>8.8379451945903611</v>
      </c>
      <c r="C155" s="10">
        <v>17.27494138031545</v>
      </c>
      <c r="D155" s="10">
        <v>30.43395190962508</v>
      </c>
      <c r="E155" s="10">
        <v>588.49609275573619</v>
      </c>
      <c r="F155" s="10">
        <v>840.53424678368401</v>
      </c>
      <c r="G155" s="10">
        <v>888.83202527823721</v>
      </c>
    </row>
    <row r="156" spans="1:7" ht="24" customHeight="1">
      <c r="A156" s="9">
        <v>48334</v>
      </c>
      <c r="B156" s="10">
        <v>8.56989650424714</v>
      </c>
      <c r="C156" s="10">
        <v>17.779775882498029</v>
      </c>
      <c r="D156" s="10">
        <v>29.05644201343171</v>
      </c>
      <c r="E156" s="10">
        <v>597.06598925998333</v>
      </c>
      <c r="F156" s="10">
        <v>858.31402266618204</v>
      </c>
      <c r="G156" s="10">
        <v>917.88846729166892</v>
      </c>
    </row>
    <row r="157" spans="1:7" ht="24" customHeight="1">
      <c r="A157" s="9">
        <v>48365</v>
      </c>
      <c r="B157" s="10">
        <v>9.1392136535400823</v>
      </c>
      <c r="C157" s="10">
        <v>17.69861008654777</v>
      </c>
      <c r="D157" s="10">
        <v>30.141921412724511</v>
      </c>
      <c r="E157" s="10">
        <v>606.20520291352341</v>
      </c>
      <c r="F157" s="10">
        <v>876.01263275272981</v>
      </c>
      <c r="G157" s="10">
        <v>948.03038870439343</v>
      </c>
    </row>
    <row r="158" spans="1:7" ht="24" customHeight="1">
      <c r="A158" s="9">
        <v>48395</v>
      </c>
      <c r="B158" s="10">
        <v>8.7222278391129748</v>
      </c>
      <c r="C158" s="10">
        <v>17.441557841487452</v>
      </c>
      <c r="D158" s="10">
        <v>26.01717944088853</v>
      </c>
      <c r="E158" s="10">
        <v>614.92743075263638</v>
      </c>
      <c r="F158" s="10">
        <v>893.45419059421727</v>
      </c>
      <c r="G158" s="10">
        <v>974.04756814528196</v>
      </c>
    </row>
    <row r="159" spans="1:7" ht="24" customHeight="1">
      <c r="A159" s="9">
        <v>48426</v>
      </c>
      <c r="B159" s="10">
        <v>8.7140463585454881</v>
      </c>
      <c r="C159" s="10">
        <v>16.895842852999181</v>
      </c>
      <c r="D159" s="10">
        <v>25.138392944316369</v>
      </c>
      <c r="E159" s="10">
        <v>623.64147711118187</v>
      </c>
      <c r="F159" s="10">
        <v>910.35003344721645</v>
      </c>
      <c r="G159" s="10">
        <v>999.18596108959832</v>
      </c>
    </row>
    <row r="160" spans="1:7" ht="24" customHeight="1">
      <c r="A160" s="9">
        <v>48457</v>
      </c>
      <c r="B160" s="10">
        <v>9.0313317595805529</v>
      </c>
      <c r="C160" s="10">
        <v>17.163223362492769</v>
      </c>
      <c r="D160" s="10">
        <v>24.136692296018399</v>
      </c>
      <c r="E160" s="10">
        <v>632.67280887076242</v>
      </c>
      <c r="F160" s="10">
        <v>927.51325680970922</v>
      </c>
      <c r="G160" s="10">
        <v>1023.3226533856167</v>
      </c>
    </row>
    <row r="161" spans="1:7" ht="24" customHeight="1">
      <c r="A161" s="9">
        <v>48487</v>
      </c>
      <c r="B161" s="10">
        <v>9.2493131964226905</v>
      </c>
      <c r="C161" s="10">
        <v>17.1986835273533</v>
      </c>
      <c r="D161" s="10">
        <v>24.97329186744491</v>
      </c>
      <c r="E161" s="10">
        <v>641.92212206718511</v>
      </c>
      <c r="F161" s="10">
        <v>944.71194033706252</v>
      </c>
      <c r="G161" s="10">
        <v>1048.2959452530615</v>
      </c>
    </row>
    <row r="162" spans="1:7" ht="24" customHeight="1">
      <c r="A162" s="9">
        <v>48518</v>
      </c>
      <c r="B162" s="10">
        <v>9.037526805886273</v>
      </c>
      <c r="C162" s="10">
        <v>17.556076892099899</v>
      </c>
      <c r="D162" s="10">
        <v>23.191407320372491</v>
      </c>
      <c r="E162" s="10">
        <v>650.95964887307139</v>
      </c>
      <c r="F162" s="10">
        <v>962.26801722916241</v>
      </c>
      <c r="G162" s="10">
        <v>1071.487352573434</v>
      </c>
    </row>
    <row r="163" spans="1:7" ht="24" customHeight="1">
      <c r="A163" s="9">
        <v>48548</v>
      </c>
      <c r="B163" s="10">
        <v>8.8222968383812486</v>
      </c>
      <c r="C163" s="10">
        <v>17.564517109593339</v>
      </c>
      <c r="D163" s="10">
        <v>28.082191573873619</v>
      </c>
      <c r="E163" s="10">
        <v>659.78194571145264</v>
      </c>
      <c r="F163" s="10">
        <v>979.83253433875575</v>
      </c>
      <c r="G163" s="10">
        <v>1099.5695441473076</v>
      </c>
    </row>
    <row r="164" spans="1:7" ht="24" customHeight="1">
      <c r="A164" s="9">
        <v>48579</v>
      </c>
      <c r="B164" s="10">
        <v>9.2183793765243536</v>
      </c>
      <c r="C164" s="10">
        <v>17.53495650705122</v>
      </c>
      <c r="D164" s="10">
        <v>27.766624984396689</v>
      </c>
      <c r="E164" s="10">
        <v>669.00032508797699</v>
      </c>
      <c r="F164" s="10">
        <v>997.36749084580697</v>
      </c>
      <c r="G164" s="10">
        <v>1127.3361691317043</v>
      </c>
    </row>
    <row r="165" spans="1:7" ht="24" customHeight="1">
      <c r="A165" s="9">
        <v>48610</v>
      </c>
      <c r="B165" s="10">
        <v>9.2220589312261154</v>
      </c>
      <c r="C165" s="10">
        <v>17.146343832334761</v>
      </c>
      <c r="D165" s="10">
        <v>29.276956733326639</v>
      </c>
      <c r="E165" s="10">
        <v>678.2223840192031</v>
      </c>
      <c r="F165" s="10">
        <v>1014.5138346781417</v>
      </c>
      <c r="G165" s="10">
        <v>1156.613125865031</v>
      </c>
    </row>
    <row r="166" spans="1:7" ht="24" customHeight="1">
      <c r="A166" s="9">
        <v>48638</v>
      </c>
      <c r="B166" s="10">
        <v>9.1085913494157467</v>
      </c>
      <c r="C166" s="10">
        <v>17.48142466461854</v>
      </c>
      <c r="D166" s="10">
        <v>26.96255529865903</v>
      </c>
      <c r="E166" s="10">
        <v>687.33097536861885</v>
      </c>
      <c r="F166" s="10">
        <v>1031.9952593427602</v>
      </c>
      <c r="G166" s="10">
        <v>1183.57568116369</v>
      </c>
    </row>
    <row r="167" spans="1:7" ht="24" customHeight="1">
      <c r="A167" s="9">
        <v>48669</v>
      </c>
      <c r="B167" s="10">
        <v>9.0961260015553762</v>
      </c>
      <c r="C167" s="10">
        <v>17.306940625301191</v>
      </c>
      <c r="D167" s="10">
        <v>27.07224723657578</v>
      </c>
      <c r="E167" s="10">
        <v>696.42710137017423</v>
      </c>
      <c r="F167" s="10">
        <v>1049.3021999680614</v>
      </c>
      <c r="G167" s="10">
        <v>1210.6479284002658</v>
      </c>
    </row>
    <row r="168" spans="1:7" ht="24" customHeight="1">
      <c r="A168" s="9">
        <v>48699</v>
      </c>
      <c r="B168" s="10">
        <v>9.2790159489012467</v>
      </c>
      <c r="C168" s="10">
        <v>17.13805997836516</v>
      </c>
      <c r="D168" s="10">
        <v>26.526550575750662</v>
      </c>
      <c r="E168" s="10">
        <v>705.70611731907547</v>
      </c>
      <c r="F168" s="10">
        <v>1066.4402599464265</v>
      </c>
      <c r="G168" s="10">
        <v>1237.1744789760164</v>
      </c>
    </row>
    <row r="169" spans="1:7" ht="24" customHeight="1">
      <c r="A169" s="9">
        <v>48730</v>
      </c>
      <c r="B169" s="10">
        <v>9.3261919130385422</v>
      </c>
      <c r="C169" s="10">
        <v>17.193039163046251</v>
      </c>
      <c r="D169" s="10">
        <v>25.923445451858701</v>
      </c>
      <c r="E169" s="10">
        <v>715.03230923211402</v>
      </c>
      <c r="F169" s="10">
        <v>1083.6332991094728</v>
      </c>
      <c r="G169" s="10">
        <v>1263.0979244278751</v>
      </c>
    </row>
    <row r="170" spans="1:7" ht="24" customHeight="1">
      <c r="A170" s="9">
        <v>48760</v>
      </c>
      <c r="B170" s="10">
        <v>9.1945032699518379</v>
      </c>
      <c r="C170" s="10">
        <v>16.925523007632361</v>
      </c>
      <c r="D170" s="10">
        <v>25.965655581430159</v>
      </c>
      <c r="E170" s="10">
        <v>724.22681250206585</v>
      </c>
      <c r="F170" s="10">
        <v>1100.5588221171051</v>
      </c>
      <c r="G170" s="10">
        <v>1289.0635800093053</v>
      </c>
    </row>
    <row r="171" spans="1:7" ht="24" customHeight="1">
      <c r="A171" s="9">
        <v>48791</v>
      </c>
      <c r="B171" s="10">
        <v>8.9026675342533963</v>
      </c>
      <c r="C171" s="10">
        <v>16.797288608544019</v>
      </c>
      <c r="D171" s="10">
        <v>26.012838654284909</v>
      </c>
      <c r="E171" s="10">
        <v>733.12948003631925</v>
      </c>
      <c r="F171" s="10">
        <v>1117.3561107256492</v>
      </c>
      <c r="G171" s="10">
        <v>1315.0764186635902</v>
      </c>
    </row>
    <row r="172" spans="1:7" ht="24" customHeight="1">
      <c r="A172" s="9">
        <v>48822</v>
      </c>
      <c r="B172" s="10">
        <v>8.8541816870271077</v>
      </c>
      <c r="C172" s="10">
        <v>17.19708168699481</v>
      </c>
      <c r="D172" s="10">
        <v>26.293785884094859</v>
      </c>
      <c r="E172" s="10">
        <v>741.98366172334636</v>
      </c>
      <c r="F172" s="10">
        <v>1134.553192412644</v>
      </c>
      <c r="G172" s="10">
        <v>1341.370204547685</v>
      </c>
    </row>
    <row r="173" spans="1:7" ht="24" customHeight="1">
      <c r="A173" s="9">
        <v>48852</v>
      </c>
      <c r="B173" s="10">
        <v>9.0897082111818008</v>
      </c>
      <c r="C173" s="10">
        <v>17.42468973805035</v>
      </c>
      <c r="D173" s="10">
        <v>26.47964649816549</v>
      </c>
      <c r="E173" s="10">
        <v>751.07336993452816</v>
      </c>
      <c r="F173" s="10">
        <v>1151.9778821506943</v>
      </c>
      <c r="G173" s="10">
        <v>1367.8498510458505</v>
      </c>
    </row>
    <row r="174" spans="1:7" ht="24" customHeight="1">
      <c r="A174" s="9">
        <v>48883</v>
      </c>
      <c r="B174" s="10">
        <v>8.8278523149190278</v>
      </c>
      <c r="C174" s="10">
        <v>17.353757643916651</v>
      </c>
      <c r="D174" s="10">
        <v>26.609886727891311</v>
      </c>
      <c r="E174" s="10">
        <v>759.90122224944719</v>
      </c>
      <c r="F174" s="10">
        <v>1169.331639794611</v>
      </c>
      <c r="G174" s="10">
        <v>1394.4597377737418</v>
      </c>
    </row>
    <row r="175" spans="1:7" ht="24" customHeight="1">
      <c r="A175" s="9">
        <v>48913</v>
      </c>
      <c r="B175" s="10">
        <v>8.9030882819743056</v>
      </c>
      <c r="C175" s="10">
        <v>17.1740460408862</v>
      </c>
      <c r="D175" s="10">
        <v>26.954813573212501</v>
      </c>
      <c r="E175" s="10">
        <v>768.80431053142149</v>
      </c>
      <c r="F175" s="10">
        <v>1186.5056858354972</v>
      </c>
      <c r="G175" s="10">
        <v>1421.4145513469543</v>
      </c>
    </row>
    <row r="176" spans="1:7" ht="24" customHeight="1">
      <c r="A176" s="9">
        <v>48944</v>
      </c>
      <c r="B176" s="10">
        <v>8.8262140768704285</v>
      </c>
      <c r="C176" s="10">
        <v>17.466401809654371</v>
      </c>
      <c r="D176" s="10">
        <v>27.167197353038091</v>
      </c>
      <c r="E176" s="10">
        <v>777.63052460829192</v>
      </c>
      <c r="F176" s="10">
        <v>1203.9720876451515</v>
      </c>
      <c r="G176" s="10">
        <v>1448.5817486999924</v>
      </c>
    </row>
    <row r="177" spans="1:7" ht="24" customHeight="1">
      <c r="A177" s="9">
        <v>48975</v>
      </c>
      <c r="B177" s="10">
        <v>8.5798406667493055</v>
      </c>
      <c r="C177" s="10">
        <v>17.447558185879871</v>
      </c>
      <c r="D177" s="10">
        <v>26.608040598300249</v>
      </c>
      <c r="E177" s="10">
        <v>786.21036527504123</v>
      </c>
      <c r="F177" s="10">
        <v>1221.4196458310314</v>
      </c>
      <c r="G177" s="10">
        <v>1475.1897892982927</v>
      </c>
    </row>
    <row r="178" spans="1:7" ht="24" customHeight="1">
      <c r="A178" s="9">
        <v>49003</v>
      </c>
      <c r="B178" s="10">
        <v>8.5342483291227609</v>
      </c>
      <c r="C178" s="10">
        <v>17.467841959243511</v>
      </c>
      <c r="D178" s="10">
        <v>26.187537514025049</v>
      </c>
      <c r="E178" s="10">
        <v>794.74461360416399</v>
      </c>
      <c r="F178" s="10">
        <v>1238.8874877902749</v>
      </c>
      <c r="G178" s="10">
        <v>1501.3773268123177</v>
      </c>
    </row>
    <row r="179" spans="1:7" ht="24" customHeight="1">
      <c r="A179" s="9">
        <v>49034</v>
      </c>
      <c r="B179" s="10">
        <v>8.7746948317820852</v>
      </c>
      <c r="C179" s="10">
        <v>17.359260765180579</v>
      </c>
      <c r="D179" s="10">
        <v>25.815111499668319</v>
      </c>
      <c r="E179" s="10">
        <v>803.51930843594607</v>
      </c>
      <c r="F179" s="10">
        <v>1256.2467485554555</v>
      </c>
      <c r="G179" s="10">
        <v>1527.1924383119861</v>
      </c>
    </row>
    <row r="180" spans="1:7" ht="24" customHeight="1">
      <c r="A180" s="9">
        <v>49064</v>
      </c>
      <c r="B180" s="10">
        <v>8.5534984326062613</v>
      </c>
      <c r="C180" s="10">
        <v>17.095724455946769</v>
      </c>
      <c r="D180" s="10">
        <v>25.87499670246029</v>
      </c>
      <c r="E180" s="10">
        <v>812.07280686855233</v>
      </c>
      <c r="F180" s="10">
        <v>1273.3424730114023</v>
      </c>
      <c r="G180" s="10">
        <v>1553.0674350144463</v>
      </c>
    </row>
    <row r="181" spans="1:7" ht="24" customHeight="1">
      <c r="A181" s="9">
        <v>49095</v>
      </c>
      <c r="B181" s="10">
        <v>8.5461537152251594</v>
      </c>
      <c r="C181" s="10">
        <v>17.35319915782225</v>
      </c>
      <c r="D181" s="10">
        <v>25.62512897185275</v>
      </c>
      <c r="E181" s="10">
        <v>820.61896058377749</v>
      </c>
      <c r="F181" s="10">
        <v>1290.6956721692245</v>
      </c>
      <c r="G181" s="10">
        <v>1578.6925639862991</v>
      </c>
    </row>
    <row r="182" spans="1:7" ht="24" customHeight="1">
      <c r="A182" s="9">
        <v>49125</v>
      </c>
      <c r="B182" s="10">
        <v>8.8215256517073612</v>
      </c>
      <c r="C182" s="10">
        <v>17.397768803530202</v>
      </c>
      <c r="D182" s="10">
        <v>26.267081208534819</v>
      </c>
      <c r="E182" s="10">
        <v>829.44048623548485</v>
      </c>
      <c r="F182" s="10">
        <v>1308.0934409727547</v>
      </c>
      <c r="G182" s="10">
        <v>1604.9596451948339</v>
      </c>
    </row>
    <row r="183" spans="1:7" ht="24" customHeight="1">
      <c r="A183" s="9">
        <v>49156</v>
      </c>
      <c r="B183" s="10">
        <v>8.4640808649400014</v>
      </c>
      <c r="C183" s="10">
        <v>17.19684835696285</v>
      </c>
      <c r="D183" s="10">
        <v>26.11455484121257</v>
      </c>
      <c r="E183" s="10">
        <v>837.90456710042486</v>
      </c>
      <c r="F183" s="10">
        <v>1325.2902893297176</v>
      </c>
      <c r="G183" s="10">
        <v>1631.0742000360465</v>
      </c>
    </row>
    <row r="184" spans="1:7" ht="24" customHeight="1">
      <c r="A184" s="9">
        <v>49187</v>
      </c>
      <c r="B184" s="10">
        <v>8.5647141056429064</v>
      </c>
      <c r="C184" s="10">
        <v>17.133390096264289</v>
      </c>
      <c r="D184" s="10">
        <v>26.30074174770402</v>
      </c>
      <c r="E184" s="10">
        <v>846.46928120606776</v>
      </c>
      <c r="F184" s="10">
        <v>1342.4236794259818</v>
      </c>
      <c r="G184" s="10">
        <v>1657.3749417837505</v>
      </c>
    </row>
    <row r="185" spans="1:7" ht="24" customHeight="1">
      <c r="A185" s="9">
        <v>49217</v>
      </c>
      <c r="B185" s="10">
        <v>8.4025745551618911</v>
      </c>
      <c r="C185" s="10">
        <v>17.394903184048871</v>
      </c>
      <c r="D185" s="10">
        <v>26.16714290951677</v>
      </c>
      <c r="E185" s="10">
        <v>854.87185576122965</v>
      </c>
      <c r="F185" s="10">
        <v>1359.8185826100307</v>
      </c>
      <c r="G185" s="10">
        <v>1683.5420846932673</v>
      </c>
    </row>
    <row r="186" spans="1:7" ht="24" customHeight="1">
      <c r="A186" s="9">
        <v>49248</v>
      </c>
      <c r="B186" s="10">
        <v>8.7415111778082064</v>
      </c>
      <c r="C186" s="10">
        <v>17.342261561031592</v>
      </c>
      <c r="D186" s="10">
        <v>25.774669143091611</v>
      </c>
      <c r="E186" s="10">
        <v>863.61336693903786</v>
      </c>
      <c r="F186" s="10">
        <v>1377.1608441710623</v>
      </c>
      <c r="G186" s="10">
        <v>1709.3167538363589</v>
      </c>
    </row>
    <row r="187" spans="1:7" ht="24" customHeight="1">
      <c r="A187" s="9">
        <v>49278</v>
      </c>
      <c r="B187" s="10">
        <v>8.5194941667582498</v>
      </c>
      <c r="C187" s="10">
        <v>17.578890923517751</v>
      </c>
      <c r="D187" s="10">
        <v>26.10867385305755</v>
      </c>
      <c r="E187" s="10">
        <v>872.13286110579611</v>
      </c>
      <c r="F187" s="10">
        <v>1394.7397350945801</v>
      </c>
      <c r="G187" s="10">
        <v>1735.4254276894164</v>
      </c>
    </row>
    <row r="188" spans="1:7" ht="24" customHeight="1">
      <c r="A188" s="9">
        <v>49309</v>
      </c>
      <c r="B188" s="10">
        <v>8.294588379719471</v>
      </c>
      <c r="C188" s="10">
        <v>17.74639727293857</v>
      </c>
      <c r="D188" s="10">
        <v>26.41649514074447</v>
      </c>
      <c r="E188" s="10">
        <v>880.42744948551558</v>
      </c>
      <c r="F188" s="10">
        <v>1412.4861323675186</v>
      </c>
      <c r="G188" s="10">
        <v>1761.8419228301609</v>
      </c>
    </row>
    <row r="189" spans="1:7" ht="24" customHeight="1">
      <c r="A189" s="9">
        <v>49340</v>
      </c>
      <c r="B189" s="10">
        <v>8.6450175852716029</v>
      </c>
      <c r="C189" s="10">
        <v>17.817518884446368</v>
      </c>
      <c r="D189" s="10">
        <v>25.996410562803931</v>
      </c>
      <c r="E189" s="10">
        <v>889.07246707078718</v>
      </c>
      <c r="F189" s="10">
        <v>1430.303651251965</v>
      </c>
      <c r="G189" s="10">
        <v>1787.8383333929648</v>
      </c>
    </row>
    <row r="190" spans="1:7" ht="24" customHeight="1">
      <c r="A190" s="9">
        <v>49368</v>
      </c>
      <c r="B190" s="10">
        <v>8.4319118884862974</v>
      </c>
      <c r="C190" s="10">
        <v>18.06002160058301</v>
      </c>
      <c r="D190" s="10">
        <v>26.40028174479016</v>
      </c>
      <c r="E190" s="10">
        <v>897.50437895927348</v>
      </c>
      <c r="F190" s="10">
        <v>1448.363672852548</v>
      </c>
      <c r="G190" s="10">
        <v>1814.238615137755</v>
      </c>
    </row>
    <row r="191" spans="1:7" ht="24" customHeight="1">
      <c r="A191" s="9">
        <v>49399</v>
      </c>
      <c r="B191" s="10">
        <v>8.8300741796922466</v>
      </c>
      <c r="C191" s="10">
        <v>18.02919337344656</v>
      </c>
      <c r="D191" s="10">
        <v>26.453696649027052</v>
      </c>
      <c r="E191" s="10">
        <v>906.33445313896573</v>
      </c>
      <c r="F191" s="10">
        <v>1466.3928662259946</v>
      </c>
      <c r="G191" s="10">
        <v>1840.6923117867821</v>
      </c>
    </row>
    <row r="192" spans="1:7" ht="24" customHeight="1">
      <c r="A192" s="9">
        <v>49429</v>
      </c>
      <c r="B192" s="10">
        <v>9.064950941978168</v>
      </c>
      <c r="C192" s="10">
        <v>17.93328785756125</v>
      </c>
      <c r="D192" s="10">
        <v>26.754436096380459</v>
      </c>
      <c r="E192" s="10">
        <v>915.3994040809439</v>
      </c>
      <c r="F192" s="10">
        <v>1484.3261540835558</v>
      </c>
      <c r="G192" s="10">
        <v>1867.4467478831625</v>
      </c>
    </row>
    <row r="193" spans="1:7" ht="24" customHeight="1">
      <c r="A193" s="9">
        <v>49460</v>
      </c>
      <c r="B193" s="10">
        <v>9.1065598699332213</v>
      </c>
      <c r="C193" s="10">
        <v>17.771826977219011</v>
      </c>
      <c r="D193" s="10">
        <v>26.442238505879001</v>
      </c>
      <c r="E193" s="10">
        <v>924.50596395087712</v>
      </c>
      <c r="F193" s="10">
        <v>1502.0979810607748</v>
      </c>
      <c r="G193" s="10">
        <v>1893.8889863890415</v>
      </c>
    </row>
    <row r="194" spans="1:7" ht="24" customHeight="1">
      <c r="A194" s="9">
        <v>49490</v>
      </c>
      <c r="B194" s="10">
        <v>9.072887208824568</v>
      </c>
      <c r="C194" s="10">
        <v>17.75707895689311</v>
      </c>
      <c r="D194" s="10">
        <v>26.684281015791608</v>
      </c>
      <c r="E194" s="10">
        <v>933.57885115970168</v>
      </c>
      <c r="F194" s="10">
        <v>1519.8550600176679</v>
      </c>
      <c r="G194" s="10">
        <v>1920.5732674048331</v>
      </c>
    </row>
    <row r="195" spans="1:7" ht="24" customHeight="1">
      <c r="A195" s="9">
        <v>49521</v>
      </c>
      <c r="B195" s="10">
        <v>8.9931563413096001</v>
      </c>
      <c r="C195" s="10">
        <v>17.98087490007174</v>
      </c>
      <c r="D195" s="10">
        <v>26.567204103999071</v>
      </c>
      <c r="E195" s="10">
        <v>942.57200750101129</v>
      </c>
      <c r="F195" s="10">
        <v>1537.8359349177397</v>
      </c>
      <c r="G195" s="10">
        <v>1947.1404715088322</v>
      </c>
    </row>
    <row r="196" spans="1:7" ht="24" customHeight="1">
      <c r="A196" s="9">
        <v>49552</v>
      </c>
      <c r="B196" s="10">
        <v>8.8624193837232497</v>
      </c>
      <c r="C196" s="10">
        <v>18.367464995704271</v>
      </c>
      <c r="D196" s="10">
        <v>26.69604986783315</v>
      </c>
      <c r="E196" s="10">
        <v>951.43442688473453</v>
      </c>
      <c r="F196" s="10">
        <v>1556.2033999134439</v>
      </c>
      <c r="G196" s="10">
        <v>1973.8365213766654</v>
      </c>
    </row>
    <row r="197" spans="1:7" ht="24" customHeight="1">
      <c r="A197" s="9">
        <v>49582</v>
      </c>
      <c r="B197" s="10">
        <v>8.7300574502293102</v>
      </c>
      <c r="C197" s="10">
        <v>18.590206653911761</v>
      </c>
      <c r="D197" s="10">
        <v>26.274505735671031</v>
      </c>
      <c r="E197" s="10">
        <v>960.16448433496384</v>
      </c>
      <c r="F197" s="10">
        <v>1574.7936065673557</v>
      </c>
      <c r="G197" s="10">
        <v>2000.1110271123364</v>
      </c>
    </row>
    <row r="198" spans="1:7" ht="24" customHeight="1">
      <c r="A198" s="9">
        <v>49613</v>
      </c>
      <c r="B198" s="10">
        <v>8.9341238101026192</v>
      </c>
      <c r="C198" s="10">
        <v>18.40702322639822</v>
      </c>
      <c r="D198" s="10">
        <v>26.146276148179819</v>
      </c>
      <c r="E198" s="10">
        <v>969.09860814506646</v>
      </c>
      <c r="F198" s="10">
        <v>1593.2006297937539</v>
      </c>
      <c r="G198" s="10">
        <v>2026.2573032605162</v>
      </c>
    </row>
    <row r="199" spans="1:7" ht="24" customHeight="1">
      <c r="A199" s="9">
        <v>49643</v>
      </c>
      <c r="B199" s="10">
        <v>8.7284241409661263</v>
      </c>
      <c r="C199" s="10">
        <v>18.382709491792411</v>
      </c>
      <c r="D199" s="10">
        <v>26.161399534670409</v>
      </c>
      <c r="E199" s="10">
        <v>977.82703228603259</v>
      </c>
      <c r="F199" s="10">
        <v>1611.5833392855463</v>
      </c>
      <c r="G199" s="10">
        <v>2052.4187027951866</v>
      </c>
    </row>
    <row r="200" spans="1:7" ht="24" customHeight="1">
      <c r="A200" s="9">
        <v>49674</v>
      </c>
      <c r="B200" s="10">
        <v>8.5219695753762608</v>
      </c>
      <c r="C200" s="10">
        <v>18.67213199746061</v>
      </c>
      <c r="D200" s="10">
        <v>26.482840173877779</v>
      </c>
      <c r="E200" s="10">
        <v>986.34900186140885</v>
      </c>
      <c r="F200" s="10">
        <v>1630.255471283007</v>
      </c>
      <c r="G200" s="10">
        <v>2078.9015429690644</v>
      </c>
    </row>
    <row r="201" spans="1:7" ht="24" customHeight="1">
      <c r="A201" s="9">
        <v>49705</v>
      </c>
      <c r="B201" s="10">
        <v>8.7213552136320232</v>
      </c>
      <c r="C201" s="10">
        <v>18.274406963253568</v>
      </c>
      <c r="D201" s="10">
        <v>26.38905876212311</v>
      </c>
      <c r="E201" s="10">
        <v>995.07035707504087</v>
      </c>
      <c r="F201" s="10">
        <v>1648.5298782462605</v>
      </c>
      <c r="G201" s="10">
        <v>2105.2906017311875</v>
      </c>
    </row>
    <row r="202" spans="1:7" ht="24" customHeight="1">
      <c r="A202" s="9">
        <v>49734</v>
      </c>
      <c r="B202" s="10">
        <v>8.6510918469374474</v>
      </c>
      <c r="C202" s="10">
        <v>18.697624290426798</v>
      </c>
      <c r="D202" s="10">
        <v>26.164397367634589</v>
      </c>
      <c r="E202" s="10">
        <v>1003.7214489219783</v>
      </c>
      <c r="F202" s="10">
        <v>1667.2275025366873</v>
      </c>
      <c r="G202" s="10">
        <v>2131.4549990988221</v>
      </c>
    </row>
    <row r="203" spans="1:7" ht="24" customHeight="1">
      <c r="A203" s="9">
        <v>49765</v>
      </c>
      <c r="B203" s="10">
        <v>8.6288390966391262</v>
      </c>
      <c r="C203" s="10">
        <v>18.797074884972059</v>
      </c>
      <c r="D203" s="10">
        <v>26.591650276443492</v>
      </c>
      <c r="E203" s="10">
        <v>1012.3502880186174</v>
      </c>
      <c r="F203" s="10">
        <v>1686.0245774216594</v>
      </c>
      <c r="G203" s="10">
        <v>2158.0466493752656</v>
      </c>
    </row>
    <row r="204" spans="1:7" ht="24" customHeight="1">
      <c r="A204" s="9">
        <v>49795</v>
      </c>
      <c r="B204" s="10">
        <v>8.5756076031242401</v>
      </c>
      <c r="C204" s="10">
        <v>18.488860667318018</v>
      </c>
      <c r="D204" s="10">
        <v>26.630598669409661</v>
      </c>
      <c r="E204" s="10">
        <v>1020.9258956217417</v>
      </c>
      <c r="F204" s="10">
        <v>1704.5134380889774</v>
      </c>
      <c r="G204" s="10">
        <v>2184.6772480446753</v>
      </c>
    </row>
    <row r="205" spans="1:7" ht="24" customHeight="1">
      <c r="A205" s="9">
        <v>49826</v>
      </c>
      <c r="B205" s="10">
        <v>8.6853728424755445</v>
      </c>
      <c r="C205" s="10">
        <v>18.477493332120499</v>
      </c>
      <c r="D205" s="10">
        <v>26.64216100887279</v>
      </c>
      <c r="E205" s="10">
        <v>1029.6112684642171</v>
      </c>
      <c r="F205" s="10">
        <v>1722.9909314210979</v>
      </c>
      <c r="G205" s="10">
        <v>2211.319409053548</v>
      </c>
    </row>
    <row r="206" spans="1:7" ht="24" customHeight="1">
      <c r="A206" s="9">
        <v>49856</v>
      </c>
      <c r="B206" s="10">
        <v>8.5518395753999812</v>
      </c>
      <c r="C206" s="10">
        <v>18.595283660130011</v>
      </c>
      <c r="D206" s="10">
        <v>26.577470455507861</v>
      </c>
      <c r="E206" s="10">
        <v>1038.1631080396171</v>
      </c>
      <c r="F206" s="10">
        <v>1741.5862150812279</v>
      </c>
      <c r="G206" s="10">
        <v>2237.8968795090559</v>
      </c>
    </row>
    <row r="207" spans="1:7" ht="24" customHeight="1">
      <c r="A207" s="9">
        <v>49887</v>
      </c>
      <c r="B207" s="10">
        <v>8.9317650427387889</v>
      </c>
      <c r="C207" s="10">
        <v>18.652889053199029</v>
      </c>
      <c r="D207" s="10">
        <v>26.611922437475641</v>
      </c>
      <c r="E207" s="10">
        <v>1047.0948730823559</v>
      </c>
      <c r="F207" s="10">
        <v>1760.239104134427</v>
      </c>
      <c r="G207" s="10">
        <v>2264.5088019465315</v>
      </c>
    </row>
    <row r="208" spans="1:7" ht="24" customHeight="1">
      <c r="A208" s="9">
        <v>49918</v>
      </c>
      <c r="B208" s="10">
        <v>8.7785973653119527</v>
      </c>
      <c r="C208" s="10">
        <v>18.531395128800799</v>
      </c>
      <c r="D208" s="10">
        <v>26.711770079439699</v>
      </c>
      <c r="E208" s="10">
        <v>1055.8734704476678</v>
      </c>
      <c r="F208" s="10">
        <v>1778.7704992632277</v>
      </c>
      <c r="G208" s="10">
        <v>2291.2205720259713</v>
      </c>
    </row>
    <row r="209" spans="1:7" ht="24" customHeight="1">
      <c r="A209" s="9">
        <v>49948</v>
      </c>
      <c r="B209" s="10">
        <v>8.7678107583242308</v>
      </c>
      <c r="C209" s="10">
        <v>18.588595285969859</v>
      </c>
      <c r="D209" s="10">
        <v>26.620932779590021</v>
      </c>
      <c r="E209" s="10">
        <v>1064.6412812059921</v>
      </c>
      <c r="F209" s="10">
        <v>1797.3590945491976</v>
      </c>
      <c r="G209" s="10">
        <v>2317.8415048055613</v>
      </c>
    </row>
    <row r="210" spans="1:7" ht="24" customHeight="1">
      <c r="A210" s="9">
        <v>49979</v>
      </c>
      <c r="B210" s="10">
        <v>8.9977307995097817</v>
      </c>
      <c r="C210" s="10">
        <v>18.734250170046831</v>
      </c>
      <c r="D210" s="10">
        <v>26.346675387386309</v>
      </c>
      <c r="E210" s="10">
        <v>1073.6390120055019</v>
      </c>
      <c r="F210" s="10">
        <v>1816.0933447192444</v>
      </c>
      <c r="G210" s="10">
        <v>2344.1881801929476</v>
      </c>
    </row>
    <row r="211" spans="1:7" ht="24" customHeight="1">
      <c r="A211" s="9">
        <v>50009</v>
      </c>
      <c r="B211" s="10">
        <v>9.0568102915417512</v>
      </c>
      <c r="C211" s="10">
        <v>18.535090169906201</v>
      </c>
      <c r="D211" s="10">
        <v>26.09722104393904</v>
      </c>
      <c r="E211" s="10">
        <v>1082.6958222970436</v>
      </c>
      <c r="F211" s="10">
        <v>1834.6284348891506</v>
      </c>
      <c r="G211" s="10">
        <v>2370.2854012368866</v>
      </c>
    </row>
    <row r="212" spans="1:7" ht="24" customHeight="1">
      <c r="A212" s="9">
        <v>50040</v>
      </c>
      <c r="B212" s="10">
        <v>8.9295329933429457</v>
      </c>
      <c r="C212" s="10">
        <v>18.528521060230329</v>
      </c>
      <c r="D212" s="10">
        <v>26.54789614290803</v>
      </c>
      <c r="E212" s="10">
        <v>1091.6253552903866</v>
      </c>
      <c r="F212" s="10">
        <v>1853.156955949381</v>
      </c>
      <c r="G212" s="10">
        <v>2396.8332973797947</v>
      </c>
    </row>
    <row r="213" spans="1:7" ht="24" customHeight="1">
      <c r="A213" s="9">
        <v>50071</v>
      </c>
      <c r="B213" s="10">
        <v>9.2012287381883198</v>
      </c>
      <c r="C213" s="10">
        <v>18.75370360372494</v>
      </c>
      <c r="D213" s="10">
        <v>26.443813023437091</v>
      </c>
      <c r="E213" s="10">
        <v>1100.8265840285749</v>
      </c>
      <c r="F213" s="10">
        <v>1871.9106595531059</v>
      </c>
      <c r="G213" s="10">
        <v>2423.2771104032317</v>
      </c>
    </row>
    <row r="214" spans="1:7" ht="24" customHeight="1">
      <c r="A214" s="9">
        <v>50099</v>
      </c>
      <c r="B214" s="10">
        <v>9.0738724579737209</v>
      </c>
      <c r="C214" s="10">
        <v>18.72393523046139</v>
      </c>
      <c r="D214" s="10">
        <v>26.488313830065181</v>
      </c>
      <c r="E214" s="10">
        <v>1109.9004564865486</v>
      </c>
      <c r="F214" s="10">
        <v>1890.6345947835673</v>
      </c>
      <c r="G214" s="10">
        <v>2449.7654242332969</v>
      </c>
    </row>
    <row r="215" spans="1:7" ht="24" customHeight="1">
      <c r="A215" s="9">
        <v>50130</v>
      </c>
      <c r="B215" s="10">
        <v>9.1993878633250006</v>
      </c>
      <c r="C215" s="10">
        <v>18.82989375646639</v>
      </c>
      <c r="D215" s="10">
        <v>26.88727236577688</v>
      </c>
      <c r="E215" s="10">
        <v>1119.0998443498736</v>
      </c>
      <c r="F215" s="10">
        <v>1909.4644885400337</v>
      </c>
      <c r="G215" s="10">
        <v>2476.6526965990738</v>
      </c>
    </row>
    <row r="216" spans="1:7" ht="24" customHeight="1">
      <c r="A216" s="9">
        <v>50160</v>
      </c>
      <c r="B216" s="10">
        <v>8.9297196291292948</v>
      </c>
      <c r="C216" s="10">
        <v>18.765053746377589</v>
      </c>
      <c r="D216" s="10">
        <v>26.550393575392722</v>
      </c>
      <c r="E216" s="10">
        <v>1128.0295639790029</v>
      </c>
      <c r="F216" s="10">
        <v>1928.2295422864113</v>
      </c>
      <c r="G216" s="10">
        <v>2503.2030901744665</v>
      </c>
    </row>
    <row r="217" spans="1:7" ht="24" customHeight="1">
      <c r="A217" s="9">
        <v>50191</v>
      </c>
      <c r="B217" s="10">
        <v>9.0789875126722563</v>
      </c>
      <c r="C217" s="10">
        <v>18.917419884086708</v>
      </c>
      <c r="D217" s="10">
        <v>26.601998423333949</v>
      </c>
      <c r="E217" s="10">
        <v>1137.1085514916751</v>
      </c>
      <c r="F217" s="10">
        <v>1947.146962170498</v>
      </c>
      <c r="G217" s="10">
        <v>2529.8050885978005</v>
      </c>
    </row>
    <row r="218" spans="1:7" ht="24" customHeight="1">
      <c r="A218" s="9">
        <v>50221</v>
      </c>
      <c r="B218" s="10">
        <v>9.0917619231072422</v>
      </c>
      <c r="C218" s="10">
        <v>18.932820636905259</v>
      </c>
      <c r="D218" s="10">
        <v>26.731887295573419</v>
      </c>
      <c r="E218" s="10">
        <v>1146.2003134147824</v>
      </c>
      <c r="F218" s="10">
        <v>1966.0797828074033</v>
      </c>
      <c r="G218" s="10">
        <v>2556.5369758933739</v>
      </c>
    </row>
    <row r="219" spans="1:7" ht="24" customHeight="1">
      <c r="A219" s="9">
        <v>50252</v>
      </c>
      <c r="B219" s="10">
        <v>9.3238141700571759</v>
      </c>
      <c r="C219" s="10">
        <v>19.061386271153879</v>
      </c>
      <c r="D219" s="10">
        <v>26.33142379073843</v>
      </c>
      <c r="E219" s="10">
        <v>1155.5241275848396</v>
      </c>
      <c r="F219" s="10">
        <v>1985.1411690785571</v>
      </c>
      <c r="G219" s="10">
        <v>2582.8683996841123</v>
      </c>
    </row>
    <row r="220" spans="1:7" ht="24" customHeight="1">
      <c r="A220" s="9">
        <v>50283</v>
      </c>
      <c r="B220" s="10">
        <v>9.2290794043030928</v>
      </c>
      <c r="C220" s="10">
        <v>18.851193424771282</v>
      </c>
      <c r="D220" s="10">
        <v>26.448123275324178</v>
      </c>
      <c r="E220" s="10">
        <v>1164.7532069891427</v>
      </c>
      <c r="F220" s="10">
        <v>2003.9923625033284</v>
      </c>
      <c r="G220" s="10">
        <v>2609.3165229594365</v>
      </c>
    </row>
    <row r="221" spans="1:7" ht="24" customHeight="1">
      <c r="A221" s="9">
        <v>50313</v>
      </c>
      <c r="B221" s="10">
        <v>9.0361627612021493</v>
      </c>
      <c r="C221" s="10">
        <v>18.923899711500781</v>
      </c>
      <c r="D221" s="10">
        <v>26.16992706434257</v>
      </c>
      <c r="E221" s="10">
        <v>1173.7893697503448</v>
      </c>
      <c r="F221" s="10">
        <v>2022.9162622148292</v>
      </c>
      <c r="G221" s="10">
        <v>2635.4864500237791</v>
      </c>
    </row>
    <row r="222" spans="1:7" ht="24" customHeight="1">
      <c r="A222" s="9">
        <v>50344</v>
      </c>
      <c r="B222" s="10">
        <v>8.9052034133858342</v>
      </c>
      <c r="C222" s="10">
        <v>18.66491573406665</v>
      </c>
      <c r="D222" s="10">
        <v>26.274231292555211</v>
      </c>
      <c r="E222" s="10">
        <v>1182.6945731637306</v>
      </c>
      <c r="F222" s="10">
        <v>2041.5811779488959</v>
      </c>
      <c r="G222" s="10">
        <v>2661.7606813163343</v>
      </c>
    </row>
    <row r="223" spans="1:7" ht="24" customHeight="1">
      <c r="A223" s="9">
        <v>50374</v>
      </c>
      <c r="B223" s="10">
        <v>9.2901124087420612</v>
      </c>
      <c r="C223" s="10">
        <v>19.11165572825621</v>
      </c>
      <c r="D223" s="10">
        <v>26.858188326473741</v>
      </c>
      <c r="E223" s="10">
        <v>1191.9846855724727</v>
      </c>
      <c r="F223" s="10">
        <v>2060.6928336771521</v>
      </c>
      <c r="G223" s="10">
        <v>2688.618869642808</v>
      </c>
    </row>
    <row r="224" spans="1:7" ht="24" customHeight="1">
      <c r="A224" s="9">
        <v>50405</v>
      </c>
      <c r="B224" s="10">
        <v>9.155137543758201</v>
      </c>
      <c r="C224" s="10">
        <v>18.866158527182961</v>
      </c>
      <c r="D224" s="10">
        <v>26.804750896567839</v>
      </c>
      <c r="E224" s="10">
        <v>1201.1398231162309</v>
      </c>
      <c r="F224" s="10">
        <v>2079.558992204335</v>
      </c>
      <c r="G224" s="10">
        <v>2715.4236205393759</v>
      </c>
    </row>
    <row r="225" spans="1:7" ht="24" customHeight="1">
      <c r="A225" s="9">
        <v>50436</v>
      </c>
      <c r="B225" s="10">
        <v>9.1417546378661427</v>
      </c>
      <c r="C225" s="10">
        <v>18.851073658614499</v>
      </c>
      <c r="D225" s="10">
        <v>26.790114651714251</v>
      </c>
      <c r="E225" s="10">
        <v>1210.281577754097</v>
      </c>
      <c r="F225" s="10">
        <v>2098.4100658629495</v>
      </c>
      <c r="G225" s="10">
        <v>2742.2137351910901</v>
      </c>
    </row>
    <row r="226" spans="1:7" ht="24" customHeight="1">
      <c r="A226" s="9">
        <v>50464</v>
      </c>
      <c r="B226" s="10">
        <v>9.1102661324798646</v>
      </c>
      <c r="C226" s="10">
        <v>18.93829382104968</v>
      </c>
      <c r="D226" s="10">
        <v>26.946513484430401</v>
      </c>
      <c r="E226" s="10">
        <v>1219.3918438865769</v>
      </c>
      <c r="F226" s="10">
        <v>2117.3483596839992</v>
      </c>
      <c r="G226" s="10">
        <v>2769.1602486755205</v>
      </c>
    </row>
    <row r="227" spans="1:7" ht="24" customHeight="1">
      <c r="A227" s="9">
        <v>50495</v>
      </c>
      <c r="B227" s="10">
        <v>9.2357202063797104</v>
      </c>
      <c r="C227" s="10">
        <v>18.870822317195231</v>
      </c>
      <c r="D227" s="10">
        <v>26.77815967093284</v>
      </c>
      <c r="E227" s="10">
        <v>1228.6275640929566</v>
      </c>
      <c r="F227" s="10">
        <v>2136.2191820011944</v>
      </c>
      <c r="G227" s="10">
        <v>2795.9384083464533</v>
      </c>
    </row>
    <row r="228" spans="1:7" ht="24" customHeight="1">
      <c r="A228" s="9">
        <v>50525</v>
      </c>
      <c r="B228" s="10">
        <v>9.0328047287505342</v>
      </c>
      <c r="C228" s="10">
        <v>19.134935561688511</v>
      </c>
      <c r="D228" s="10">
        <v>26.735789202892189</v>
      </c>
      <c r="E228" s="10">
        <v>1237.6603688217072</v>
      </c>
      <c r="F228" s="10">
        <v>2155.3541175628829</v>
      </c>
      <c r="G228" s="10">
        <v>2822.6741975493455</v>
      </c>
    </row>
    <row r="229" spans="1:7" ht="24" customHeight="1">
      <c r="A229" s="9">
        <v>50556</v>
      </c>
      <c r="B229" s="10">
        <v>9.0389806301325279</v>
      </c>
      <c r="C229" s="10">
        <v>19.461679438302781</v>
      </c>
      <c r="D229" s="10">
        <v>26.585061313529881</v>
      </c>
      <c r="E229" s="10">
        <v>1246.6993494518397</v>
      </c>
      <c r="F229" s="10">
        <v>2174.8157970011857</v>
      </c>
      <c r="G229" s="10">
        <v>2849.2592588628754</v>
      </c>
    </row>
    <row r="230" spans="1:7" ht="24" customHeight="1">
      <c r="A230" s="9">
        <v>50586</v>
      </c>
      <c r="B230" s="10">
        <v>9.2369132333974449</v>
      </c>
      <c r="C230" s="10">
        <v>19.216331493005779</v>
      </c>
      <c r="D230" s="10">
        <v>26.471180188839298</v>
      </c>
      <c r="E230" s="10">
        <v>1255.9362626852371</v>
      </c>
      <c r="F230" s="10">
        <v>2194.0321284941915</v>
      </c>
      <c r="G230" s="10">
        <v>2875.7304390517147</v>
      </c>
    </row>
    <row r="231" spans="1:7" ht="24" customHeight="1">
      <c r="A231" s="9">
        <v>50617</v>
      </c>
      <c r="B231" s="10">
        <v>9.4820013496664615</v>
      </c>
      <c r="C231" s="10">
        <v>19.00921355514447</v>
      </c>
      <c r="D231" s="10">
        <v>26.076075352659249</v>
      </c>
      <c r="E231" s="10">
        <v>1265.4182640349036</v>
      </c>
      <c r="F231" s="10">
        <v>2213.041342049336</v>
      </c>
      <c r="G231" s="10">
        <v>2901.806514404374</v>
      </c>
    </row>
    <row r="232" spans="1:7" ht="24" customHeight="1">
      <c r="A232" s="9">
        <v>50648</v>
      </c>
      <c r="B232" s="10">
        <v>9.3296052797143147</v>
      </c>
      <c r="C232" s="10">
        <v>19.090288763742141</v>
      </c>
      <c r="D232" s="10">
        <v>26.499478493335118</v>
      </c>
      <c r="E232" s="10">
        <v>1274.7478693146179</v>
      </c>
      <c r="F232" s="10">
        <v>2232.1316308130781</v>
      </c>
      <c r="G232" s="10">
        <v>2928.3059928977091</v>
      </c>
    </row>
    <row r="233" spans="1:7" ht="24" customHeight="1">
      <c r="A233" s="9">
        <v>50678</v>
      </c>
      <c r="B233" s="10">
        <v>9.339432545042655</v>
      </c>
      <c r="C233" s="10">
        <v>18.933767043031821</v>
      </c>
      <c r="D233" s="10">
        <v>26.569653960187679</v>
      </c>
      <c r="E233" s="10">
        <v>1284.0873018596606</v>
      </c>
      <c r="F233" s="10">
        <v>2251.0653978561099</v>
      </c>
      <c r="G233" s="10">
        <v>2954.8756468578968</v>
      </c>
    </row>
    <row r="234" spans="1:7" ht="24" customHeight="1">
      <c r="A234" s="9">
        <v>50709</v>
      </c>
      <c r="B234" s="10">
        <v>9.2918227061950347</v>
      </c>
      <c r="C234" s="10">
        <v>19.131029263040549</v>
      </c>
      <c r="D234" s="10">
        <v>26.370268595712329</v>
      </c>
      <c r="E234" s="10">
        <v>1293.3791245658556</v>
      </c>
      <c r="F234" s="10">
        <v>2270.1964271191505</v>
      </c>
      <c r="G234" s="10">
        <v>2981.2459154536091</v>
      </c>
    </row>
    <row r="235" spans="1:7" ht="24" customHeight="1">
      <c r="A235" s="9">
        <v>50739</v>
      </c>
      <c r="B235" s="10">
        <v>9.2057971490055479</v>
      </c>
      <c r="C235" s="10">
        <v>19.066440472626709</v>
      </c>
      <c r="D235" s="10">
        <v>26.508565572668431</v>
      </c>
      <c r="E235" s="10">
        <v>1302.5849217148611</v>
      </c>
      <c r="F235" s="10">
        <v>2289.2628675917772</v>
      </c>
      <c r="G235" s="10">
        <v>3007.7544810262775</v>
      </c>
    </row>
    <row r="236" spans="1:7" ht="24" customHeight="1">
      <c r="A236" s="9">
        <v>50770</v>
      </c>
      <c r="B236" s="10">
        <v>9.0608316927591659</v>
      </c>
      <c r="C236" s="10">
        <v>18.983266594304499</v>
      </c>
      <c r="D236" s="10">
        <v>26.300729416405371</v>
      </c>
      <c r="E236" s="10">
        <v>1311.6457534076203</v>
      </c>
      <c r="F236" s="10">
        <v>2308.2461341860817</v>
      </c>
      <c r="G236" s="10">
        <v>3034.0552104426829</v>
      </c>
    </row>
    <row r="237" spans="1:7" ht="24" customHeight="1">
      <c r="A237" s="9">
        <v>50801</v>
      </c>
      <c r="B237" s="10">
        <v>9.1959874640681392</v>
      </c>
      <c r="C237" s="10">
        <v>18.883834437114729</v>
      </c>
      <c r="D237" s="10">
        <v>25.917694618564379</v>
      </c>
      <c r="E237" s="10">
        <v>1320.8417408716884</v>
      </c>
      <c r="F237" s="10">
        <v>2327.1299686231964</v>
      </c>
      <c r="G237" s="10">
        <v>3059.9729050612473</v>
      </c>
    </row>
    <row r="238" spans="1:7" ht="24" customHeight="1">
      <c r="A238" s="9">
        <v>50829</v>
      </c>
      <c r="B238" s="10">
        <v>9.0233838256569925</v>
      </c>
      <c r="C238" s="10">
        <v>19.027737472029909</v>
      </c>
      <c r="D238" s="10">
        <v>26.060659820816909</v>
      </c>
      <c r="E238" s="10">
        <v>1329.8651246973454</v>
      </c>
      <c r="F238" s="10">
        <v>2346.1577060952263</v>
      </c>
      <c r="G238" s="10">
        <v>3086.0335648820642</v>
      </c>
    </row>
    <row r="239" spans="1:7" ht="24" customHeight="1">
      <c r="A239" s="9">
        <v>50860</v>
      </c>
      <c r="B239" s="10">
        <v>9.0600618938997286</v>
      </c>
      <c r="C239" s="10">
        <v>18.653727821835218</v>
      </c>
      <c r="D239" s="10">
        <v>26.323067323241961</v>
      </c>
      <c r="E239" s="10">
        <v>1338.9251865912452</v>
      </c>
      <c r="F239" s="10">
        <v>2364.8114339170615</v>
      </c>
      <c r="G239" s="10">
        <v>3112.3566322053061</v>
      </c>
    </row>
    <row r="240" spans="1:7" ht="24" customHeight="1">
      <c r="A240" s="9">
        <v>50890</v>
      </c>
      <c r="B240" s="10">
        <v>9.0425480785313539</v>
      </c>
      <c r="C240" s="10">
        <v>18.764786041961091</v>
      </c>
      <c r="D240" s="10">
        <v>26.782187854918899</v>
      </c>
      <c r="E240" s="10">
        <v>1347.9677346697765</v>
      </c>
      <c r="F240" s="10">
        <v>2383.5762199590226</v>
      </c>
      <c r="G240" s="10">
        <v>3139.138820060225</v>
      </c>
    </row>
    <row r="241" spans="1:7" ht="24" customHeight="1">
      <c r="A241" s="9">
        <v>50921</v>
      </c>
      <c r="B241" s="10">
        <v>9.1434283468879585</v>
      </c>
      <c r="C241" s="10">
        <v>18.826915583179471</v>
      </c>
      <c r="D241" s="10">
        <v>26.47636340556619</v>
      </c>
      <c r="E241" s="10">
        <v>1357.1111630166645</v>
      </c>
      <c r="F241" s="10">
        <v>2402.4031355422021</v>
      </c>
      <c r="G241" s="10">
        <v>3165.6151834657912</v>
      </c>
    </row>
    <row r="242" spans="1:7" ht="24" customHeight="1">
      <c r="A242" s="9">
        <v>50951</v>
      </c>
      <c r="B242" s="10">
        <v>9.009485754117577</v>
      </c>
      <c r="C242" s="10">
        <v>19.0913946464816</v>
      </c>
      <c r="D242" s="10">
        <v>26.524193709401061</v>
      </c>
      <c r="E242" s="10">
        <v>1366.1206487707821</v>
      </c>
      <c r="F242" s="10">
        <v>2421.4945301886837</v>
      </c>
      <c r="G242" s="10">
        <v>3192.1393771751923</v>
      </c>
    </row>
    <row r="243" spans="1:7" ht="24" customHeight="1">
      <c r="A243" s="9">
        <v>50982</v>
      </c>
      <c r="B243" s="10">
        <v>9.2309571542409685</v>
      </c>
      <c r="C243" s="10">
        <v>18.43215988233942</v>
      </c>
      <c r="D243" s="10">
        <v>26.365723730742051</v>
      </c>
      <c r="E243" s="10">
        <v>1375.351605925023</v>
      </c>
      <c r="F243" s="10">
        <v>2439.9266900710231</v>
      </c>
      <c r="G243" s="10">
        <v>3218.5051009059343</v>
      </c>
    </row>
    <row r="244" spans="1:7" ht="24" customHeight="1">
      <c r="A244" s="9">
        <v>51013</v>
      </c>
      <c r="B244" s="10">
        <v>9.1533463925024989</v>
      </c>
      <c r="C244" s="10">
        <v>18.8186543566535</v>
      </c>
      <c r="D244" s="10">
        <v>26.68448787247053</v>
      </c>
      <c r="E244" s="10">
        <v>1384.5049523175255</v>
      </c>
      <c r="F244" s="10">
        <v>2458.7453444276766</v>
      </c>
      <c r="G244" s="10">
        <v>3245.1895887784049</v>
      </c>
    </row>
    <row r="245" spans="1:7" ht="24" customHeight="1">
      <c r="A245" s="9">
        <v>51043</v>
      </c>
      <c r="B245" s="10">
        <v>8.8325223314038794</v>
      </c>
      <c r="C245" s="10">
        <v>19.130661525918189</v>
      </c>
      <c r="D245" s="10">
        <v>26.85665882666035</v>
      </c>
      <c r="E245" s="10">
        <v>1393.3374746489294</v>
      </c>
      <c r="F245" s="10">
        <v>2477.8760059535948</v>
      </c>
      <c r="G245" s="10">
        <v>3272.0462476050652</v>
      </c>
    </row>
    <row r="246" spans="1:7" ht="24" customHeight="1">
      <c r="A246" s="9">
        <v>51074</v>
      </c>
      <c r="B246" s="10">
        <v>8.7090404415960165</v>
      </c>
      <c r="C246" s="10">
        <v>18.948796544146258</v>
      </c>
      <c r="D246" s="10">
        <v>26.62121648241509</v>
      </c>
      <c r="E246" s="10">
        <v>1402.0465150905254</v>
      </c>
      <c r="F246" s="10">
        <v>2496.8248024977411</v>
      </c>
      <c r="G246" s="10">
        <v>3298.6674640874803</v>
      </c>
    </row>
    <row r="247" spans="1:7" ht="24" customHeight="1">
      <c r="A247" s="9">
        <v>51104</v>
      </c>
      <c r="B247" s="10">
        <v>8.8106453212863016</v>
      </c>
      <c r="C247" s="10">
        <v>19.035446868149389</v>
      </c>
      <c r="D247" s="10">
        <v>26.672666742803361</v>
      </c>
      <c r="E247" s="10">
        <v>1410.8571604118117</v>
      </c>
      <c r="F247" s="10">
        <v>2515.8602493658905</v>
      </c>
      <c r="G247" s="10">
        <v>3325.3401308302837</v>
      </c>
    </row>
    <row r="248" spans="1:7" ht="24" customHeight="1">
      <c r="A248" s="9">
        <v>51135</v>
      </c>
      <c r="B248" s="10">
        <v>8.7994352725509088</v>
      </c>
      <c r="C248" s="10">
        <v>18.670713042527499</v>
      </c>
      <c r="D248" s="10">
        <v>26.842937820918909</v>
      </c>
      <c r="E248" s="10">
        <v>1419.6565956843626</v>
      </c>
      <c r="F248" s="10">
        <v>2534.530962408418</v>
      </c>
      <c r="G248" s="10">
        <v>3352.1830686512026</v>
      </c>
    </row>
    <row r="249" spans="1:7" ht="24" customHeight="1">
      <c r="A249" s="9">
        <v>51166</v>
      </c>
      <c r="B249" s="10">
        <v>8.452983257621554</v>
      </c>
      <c r="C249" s="10">
        <v>18.34021318554187</v>
      </c>
      <c r="D249" s="10">
        <v>26.730135992876971</v>
      </c>
      <c r="E249" s="10">
        <v>1428.1095789419842</v>
      </c>
      <c r="F249" s="10">
        <v>2552.8711755939598</v>
      </c>
      <c r="G249" s="10">
        <v>3378.9132046440795</v>
      </c>
    </row>
    <row r="250" spans="1:7" ht="24" customHeight="1">
      <c r="A250" s="9">
        <v>51195</v>
      </c>
      <c r="B250" s="10">
        <v>8.6159948376082411</v>
      </c>
      <c r="C250" s="10">
        <v>18.733473064042759</v>
      </c>
      <c r="D250" s="10">
        <v>26.763908643431929</v>
      </c>
      <c r="E250" s="10">
        <v>1436.7255737795924</v>
      </c>
      <c r="F250" s="10">
        <v>2571.6046486580026</v>
      </c>
      <c r="G250" s="10">
        <v>3405.6771132875115</v>
      </c>
    </row>
    <row r="251" spans="1:7" ht="24" customHeight="1">
      <c r="A251" s="9">
        <v>51226</v>
      </c>
      <c r="B251" s="10">
        <v>8.7965842782225536</v>
      </c>
      <c r="C251" s="10">
        <v>18.87696892539725</v>
      </c>
      <c r="D251" s="10">
        <v>26.553283869352072</v>
      </c>
      <c r="E251" s="10">
        <v>1445.522158057815</v>
      </c>
      <c r="F251" s="10">
        <v>2590.4816175833998</v>
      </c>
      <c r="G251" s="10">
        <v>3432.2303971568635</v>
      </c>
    </row>
    <row r="252" spans="1:7" ht="24" customHeight="1">
      <c r="A252" s="9">
        <v>51256</v>
      </c>
      <c r="B252" s="10">
        <v>8.834135727693365</v>
      </c>
      <c r="C252" s="10">
        <v>18.526942887887799</v>
      </c>
      <c r="D252" s="10">
        <v>26.602295077548661</v>
      </c>
      <c r="E252" s="10">
        <v>1454.3562937855083</v>
      </c>
      <c r="F252" s="10">
        <v>2609.0085604712876</v>
      </c>
      <c r="G252" s="10">
        <v>3458.8326922344122</v>
      </c>
    </row>
    <row r="253" spans="1:7" ht="24" customHeight="1">
      <c r="A253" s="9">
        <v>51287</v>
      </c>
      <c r="B253" s="10">
        <v>8.8786241381280888</v>
      </c>
      <c r="C253" s="10">
        <v>18.481597832417261</v>
      </c>
      <c r="D253" s="10">
        <v>26.579681938382691</v>
      </c>
      <c r="E253" s="10">
        <v>1463.2349179236364</v>
      </c>
      <c r="F253" s="10">
        <v>2627.4901583037049</v>
      </c>
      <c r="G253" s="10">
        <v>3485.4123741727949</v>
      </c>
    </row>
    <row r="254" spans="1:7" ht="24" customHeight="1">
      <c r="A254" s="9">
        <v>51317</v>
      </c>
      <c r="B254" s="10">
        <v>8.5533561772897428</v>
      </c>
      <c r="C254" s="10">
        <v>18.432196556873809</v>
      </c>
      <c r="D254" s="10">
        <v>26.719672669354619</v>
      </c>
      <c r="E254" s="10">
        <v>1471.7882741009262</v>
      </c>
      <c r="F254" s="10">
        <v>2645.9223548605787</v>
      </c>
      <c r="G254" s="10">
        <v>3512.1320468421495</v>
      </c>
    </row>
    <row r="255" spans="1:7" ht="24" customHeight="1">
      <c r="A255" s="9">
        <v>51348</v>
      </c>
      <c r="B255" s="10">
        <v>8.8576207423270716</v>
      </c>
      <c r="C255" s="10">
        <v>18.648549239481781</v>
      </c>
      <c r="D255" s="10">
        <v>26.46477116148435</v>
      </c>
      <c r="E255" s="10">
        <v>1480.6458948432532</v>
      </c>
      <c r="F255" s="10">
        <v>2664.5709041000605</v>
      </c>
      <c r="G255" s="10">
        <v>3538.5968180036339</v>
      </c>
    </row>
    <row r="256" spans="1:7" ht="24" customHeight="1">
      <c r="A256" s="9">
        <v>51379</v>
      </c>
      <c r="B256" s="10">
        <v>8.5556823322197033</v>
      </c>
      <c r="C256" s="10">
        <v>18.850187020813792</v>
      </c>
      <c r="D256" s="10">
        <v>26.283072576119139</v>
      </c>
      <c r="E256" s="10">
        <v>1489.2015771754729</v>
      </c>
      <c r="F256" s="10">
        <v>2683.4210911208743</v>
      </c>
      <c r="G256" s="10">
        <v>3564.879890579753</v>
      </c>
    </row>
    <row r="257" spans="1:7" ht="24" customHeight="1">
      <c r="A257" s="9">
        <v>51409</v>
      </c>
      <c r="B257" s="10">
        <v>8.7322298043345654</v>
      </c>
      <c r="C257" s="10">
        <v>18.83897739671238</v>
      </c>
      <c r="D257" s="10">
        <v>26.187652359383719</v>
      </c>
      <c r="E257" s="10">
        <v>1497.9338069798075</v>
      </c>
      <c r="F257" s="10">
        <v>2702.2600685175867</v>
      </c>
      <c r="G257" s="10">
        <v>3591.0675429391367</v>
      </c>
    </row>
    <row r="258" spans="1:7" ht="24" customHeight="1">
      <c r="A258" s="9">
        <v>51440</v>
      </c>
      <c r="B258" s="10">
        <v>8.727690599444486</v>
      </c>
      <c r="C258" s="10">
        <v>19.118692059437311</v>
      </c>
      <c r="D258" s="10">
        <v>26.014543886878979</v>
      </c>
      <c r="E258" s="10">
        <v>1506.661497579252</v>
      </c>
      <c r="F258" s="10">
        <v>2721.378760577024</v>
      </c>
      <c r="G258" s="10">
        <v>3617.0820868260157</v>
      </c>
    </row>
    <row r="259" spans="1:7" ht="24" customHeight="1">
      <c r="A259" s="9">
        <v>51470</v>
      </c>
      <c r="B259" s="10">
        <v>8.9511414154833346</v>
      </c>
      <c r="C259" s="10">
        <v>18.584486775429919</v>
      </c>
      <c r="D259" s="10">
        <v>26.22649627532428</v>
      </c>
      <c r="E259" s="10">
        <v>1515.6126389947353</v>
      </c>
      <c r="F259" s="10">
        <v>2739.9632473524539</v>
      </c>
      <c r="G259" s="10">
        <v>3643.30858310134</v>
      </c>
    </row>
    <row r="260" spans="1:7" ht="24" customHeight="1">
      <c r="A260" s="9">
        <v>51501</v>
      </c>
      <c r="B260" s="10">
        <v>8.9583992559050785</v>
      </c>
      <c r="C260" s="10">
        <v>18.50116849893584</v>
      </c>
      <c r="D260" s="10">
        <v>26.053323612877652</v>
      </c>
      <c r="E260" s="10">
        <v>1524.5710382506404</v>
      </c>
      <c r="F260" s="10">
        <v>2758.4644158513897</v>
      </c>
      <c r="G260" s="10">
        <v>3669.3619067142176</v>
      </c>
    </row>
    <row r="261" spans="1:7" ht="24" customHeight="1">
      <c r="A261" s="9">
        <v>51532</v>
      </c>
      <c r="B261" s="10">
        <v>8.718872302079717</v>
      </c>
      <c r="C261" s="10">
        <v>18.42968047354907</v>
      </c>
      <c r="D261" s="10">
        <v>26.34525731213671</v>
      </c>
      <c r="E261" s="10">
        <v>1533.2899105527201</v>
      </c>
      <c r="F261" s="10">
        <v>2776.8940963249388</v>
      </c>
      <c r="G261" s="10">
        <v>3695.7071640263543</v>
      </c>
    </row>
    <row r="262" spans="1:7" ht="24" customHeight="1">
      <c r="A262" s="9">
        <v>51560</v>
      </c>
      <c r="B262" s="10">
        <v>8.8512049871026193</v>
      </c>
      <c r="C262" s="10">
        <v>18.01100191062369</v>
      </c>
      <c r="D262" s="10">
        <v>26.133511931540848</v>
      </c>
      <c r="E262" s="10">
        <v>1542.1411155398227</v>
      </c>
      <c r="F262" s="10">
        <v>2794.9050982355625</v>
      </c>
      <c r="G262" s="10">
        <v>3721.8406759578952</v>
      </c>
    </row>
    <row r="263" spans="1:7" ht="24" customHeight="1">
      <c r="A263" s="9">
        <v>51591</v>
      </c>
      <c r="B263" s="10">
        <v>8.495121021253226</v>
      </c>
      <c r="C263" s="10">
        <v>18.189253873610141</v>
      </c>
      <c r="D263" s="10">
        <v>26.28657373922033</v>
      </c>
      <c r="E263" s="10">
        <v>1550.636236561076</v>
      </c>
      <c r="F263" s="10">
        <v>2813.0943521091726</v>
      </c>
      <c r="G263" s="10">
        <v>3748.1272496971155</v>
      </c>
    </row>
    <row r="264" spans="1:7" ht="24" customHeight="1">
      <c r="A264" s="9">
        <v>51621</v>
      </c>
      <c r="B264" s="10">
        <v>8.8143819143865585</v>
      </c>
      <c r="C264" s="10">
        <v>18.23982201893887</v>
      </c>
      <c r="D264" s="10">
        <v>26.35213157935323</v>
      </c>
      <c r="E264" s="10">
        <v>1559.4506184754625</v>
      </c>
      <c r="F264" s="10">
        <v>2831.3341741281115</v>
      </c>
      <c r="G264" s="10">
        <v>3774.4793812764688</v>
      </c>
    </row>
    <row r="265" spans="1:7" ht="24" customHeight="1">
      <c r="A265" s="9">
        <v>51652</v>
      </c>
      <c r="B265" s="10">
        <v>8.7741393858279935</v>
      </c>
      <c r="C265" s="10">
        <v>18.512486421599991</v>
      </c>
      <c r="D265" s="10">
        <v>26.459481766543831</v>
      </c>
      <c r="E265" s="10">
        <v>1568.2247578612905</v>
      </c>
      <c r="F265" s="10">
        <v>2849.8466605497115</v>
      </c>
      <c r="G265" s="10">
        <v>3800.9388630430126</v>
      </c>
    </row>
    <row r="266" spans="1:7" ht="24" customHeight="1">
      <c r="A266" s="9">
        <v>51682</v>
      </c>
      <c r="B266" s="10">
        <v>8.7670007351312051</v>
      </c>
      <c r="C266" s="10">
        <v>18.470110315714919</v>
      </c>
      <c r="D266" s="10">
        <v>26.38176494554364</v>
      </c>
      <c r="E266" s="10">
        <v>1576.9917585964217</v>
      </c>
      <c r="F266" s="10">
        <v>2868.3167708654264</v>
      </c>
      <c r="G266" s="10">
        <v>3827.3206279885562</v>
      </c>
    </row>
    <row r="267" spans="1:7" ht="24" customHeight="1">
      <c r="A267" s="9">
        <v>51713</v>
      </c>
      <c r="B267" s="10">
        <v>9.1605261103240991</v>
      </c>
      <c r="C267" s="10">
        <v>18.853433036485509</v>
      </c>
      <c r="D267" s="10">
        <v>26.254088183008211</v>
      </c>
      <c r="E267" s="10">
        <v>1586.1522847067458</v>
      </c>
      <c r="F267" s="10">
        <v>2887.1702039019119</v>
      </c>
      <c r="G267" s="10">
        <v>3853.5747161715644</v>
      </c>
    </row>
    <row r="268" spans="1:7" ht="24" customHeight="1">
      <c r="A268" s="9">
        <v>51744</v>
      </c>
      <c r="B268" s="10">
        <v>9.2022193658353899</v>
      </c>
      <c r="C268" s="10">
        <v>18.794162633279939</v>
      </c>
      <c r="D268" s="10">
        <v>26.4290921255174</v>
      </c>
      <c r="E268" s="10">
        <v>1595.3545040725812</v>
      </c>
      <c r="F268" s="10">
        <v>2905.9643665351919</v>
      </c>
      <c r="G268" s="10">
        <v>3880.0038082970818</v>
      </c>
    </row>
    <row r="269" spans="1:7" ht="24" customHeight="1">
      <c r="A269" s="9">
        <v>51774</v>
      </c>
      <c r="B269" s="10">
        <v>9.2783551302854903</v>
      </c>
      <c r="C269" s="10">
        <v>19.057664180997559</v>
      </c>
      <c r="D269" s="10">
        <v>25.949875371056809</v>
      </c>
      <c r="E269" s="10">
        <v>1604.6328592028667</v>
      </c>
      <c r="F269" s="10">
        <v>2925.0220307161894</v>
      </c>
      <c r="G269" s="10">
        <v>3905.9536836681386</v>
      </c>
    </row>
    <row r="270" spans="1:7" ht="24" customHeight="1">
      <c r="A270" s="9">
        <v>51805</v>
      </c>
      <c r="B270" s="10">
        <v>9.0090616447093907</v>
      </c>
      <c r="C270" s="10">
        <v>18.79864769282722</v>
      </c>
      <c r="D270" s="10">
        <v>25.786004914961271</v>
      </c>
      <c r="E270" s="10">
        <v>1613.6419208475761</v>
      </c>
      <c r="F270" s="10">
        <v>2943.8206784090166</v>
      </c>
      <c r="G270" s="10">
        <v>3931.7396885830999</v>
      </c>
    </row>
    <row r="271" spans="1:7" ht="24" customHeight="1">
      <c r="A271" s="9">
        <v>51835</v>
      </c>
      <c r="B271" s="10">
        <v>8.7151323397708893</v>
      </c>
      <c r="C271" s="10">
        <v>18.058178765207689</v>
      </c>
      <c r="D271" s="10">
        <v>26.29412756915826</v>
      </c>
      <c r="E271" s="10">
        <v>1622.357053187347</v>
      </c>
      <c r="F271" s="10">
        <v>2961.8788571742243</v>
      </c>
      <c r="G271" s="10">
        <v>3958.0338161522582</v>
      </c>
    </row>
    <row r="272" spans="1:7" ht="24" customHeight="1">
      <c r="A272" s="9">
        <v>51866</v>
      </c>
      <c r="B272" s="10">
        <v>9.003177973675065</v>
      </c>
      <c r="C272" s="10">
        <v>17.868958350510638</v>
      </c>
      <c r="D272" s="10">
        <v>26.390594089706159</v>
      </c>
      <c r="E272" s="10">
        <v>1631.3602311610221</v>
      </c>
      <c r="F272" s="10">
        <v>2979.747815524735</v>
      </c>
      <c r="G272" s="10">
        <v>3984.4244102419643</v>
      </c>
    </row>
    <row r="273" spans="1:7" ht="24" customHeight="1">
      <c r="A273" s="9">
        <v>51897</v>
      </c>
      <c r="B273" s="10">
        <v>9.0797322836481271</v>
      </c>
      <c r="C273" s="10">
        <v>17.925754302943009</v>
      </c>
      <c r="D273" s="10">
        <v>26.778178645186468</v>
      </c>
      <c r="E273" s="10">
        <v>1640.4399634446702</v>
      </c>
      <c r="F273" s="10">
        <v>2997.673569827678</v>
      </c>
      <c r="G273" s="10">
        <v>4011.2025888871508</v>
      </c>
    </row>
    <row r="274" spans="1:7" ht="24" customHeight="1">
      <c r="A274" s="9">
        <v>51925</v>
      </c>
      <c r="B274" s="10">
        <v>8.73249684274424</v>
      </c>
      <c r="C274" s="10">
        <v>18.221042830693481</v>
      </c>
      <c r="D274" s="10">
        <v>26.476969393361738</v>
      </c>
      <c r="E274" s="10">
        <v>1649.1724602874144</v>
      </c>
      <c r="F274" s="10">
        <v>3015.8946126583714</v>
      </c>
      <c r="G274" s="10">
        <v>4037.6795582805125</v>
      </c>
    </row>
    <row r="275" spans="1:7" ht="24" customHeight="1">
      <c r="A275" s="9">
        <v>51956</v>
      </c>
      <c r="B275" s="10">
        <v>8.5343195916461809</v>
      </c>
      <c r="C275" s="10">
        <v>18.394717818749999</v>
      </c>
      <c r="D275" s="10">
        <v>26.306996019882259</v>
      </c>
      <c r="E275" s="10">
        <v>1657.7067798790606</v>
      </c>
      <c r="F275" s="10">
        <v>3034.2893304771214</v>
      </c>
      <c r="G275" s="10">
        <v>4063.9865543003948</v>
      </c>
    </row>
    <row r="276" spans="1:7" ht="24" customHeight="1">
      <c r="A276" s="9">
        <v>51986</v>
      </c>
      <c r="B276" s="10">
        <v>8.4786171438940983</v>
      </c>
      <c r="C276" s="10">
        <v>18.79679265318055</v>
      </c>
      <c r="D276" s="10">
        <v>26.39059888969177</v>
      </c>
      <c r="E276" s="10">
        <v>1666.1853970229547</v>
      </c>
      <c r="F276" s="10">
        <v>3053.086123130302</v>
      </c>
      <c r="G276" s="10">
        <v>4090.3771531900866</v>
      </c>
    </row>
    <row r="277" spans="1:7" ht="24" customHeight="1">
      <c r="A277" s="9">
        <v>52017</v>
      </c>
      <c r="B277" s="10">
        <v>8.4184937017384982</v>
      </c>
      <c r="C277" s="10">
        <v>19.129721952411732</v>
      </c>
      <c r="D277" s="10">
        <v>26.174519243177201</v>
      </c>
      <c r="E277" s="10">
        <v>1674.6038907246932</v>
      </c>
      <c r="F277" s="10">
        <v>3072.2158450827137</v>
      </c>
      <c r="G277" s="10">
        <v>4116.5516724332638</v>
      </c>
    </row>
    <row r="278" spans="1:7" ht="24" customHeight="1">
      <c r="A278" s="9">
        <v>52047</v>
      </c>
      <c r="B278" s="10">
        <v>8.3480033493085557</v>
      </c>
      <c r="C278" s="10">
        <v>18.85645143737338</v>
      </c>
      <c r="D278" s="10">
        <v>26.2763499821267</v>
      </c>
      <c r="E278" s="10">
        <v>1682.9518940740018</v>
      </c>
      <c r="F278" s="10">
        <v>3091.0722965200871</v>
      </c>
      <c r="G278" s="10">
        <v>4142.8280224153905</v>
      </c>
    </row>
    <row r="279" spans="1:7" ht="24" customHeight="1">
      <c r="A279" s="9">
        <v>52078</v>
      </c>
      <c r="B279" s="10">
        <v>8.8435019817620741</v>
      </c>
      <c r="C279" s="10">
        <v>18.565457713530119</v>
      </c>
      <c r="D279" s="10">
        <v>26.06199424049009</v>
      </c>
      <c r="E279" s="10">
        <v>1691.7953960557638</v>
      </c>
      <c r="F279" s="10">
        <v>3109.6377542336172</v>
      </c>
      <c r="G279" s="10">
        <v>4168.8900166558806</v>
      </c>
    </row>
    <row r="280" spans="1:7" ht="24" customHeight="1">
      <c r="A280" s="9">
        <v>52109</v>
      </c>
      <c r="B280" s="10">
        <v>8.8823521384397282</v>
      </c>
      <c r="C280" s="10">
        <v>18.427780755905129</v>
      </c>
      <c r="D280" s="10">
        <v>26.44937235526595</v>
      </c>
      <c r="E280" s="10">
        <v>1700.6777481942036</v>
      </c>
      <c r="F280" s="10">
        <v>3128.0655349895223</v>
      </c>
      <c r="G280" s="10">
        <v>4195.3393890111465</v>
      </c>
    </row>
    <row r="281" spans="1:7" ht="24" customHeight="1">
      <c r="A281" s="9">
        <v>52139</v>
      </c>
      <c r="B281" s="10">
        <v>9.0160887695219571</v>
      </c>
      <c r="C281" s="10">
        <v>18.42147812248686</v>
      </c>
      <c r="D281" s="10">
        <v>26.52218048417399</v>
      </c>
      <c r="E281" s="10">
        <v>1709.6938369637255</v>
      </c>
      <c r="F281" s="10">
        <v>3146.4870131120092</v>
      </c>
      <c r="G281" s="10">
        <v>4221.8615694953205</v>
      </c>
    </row>
    <row r="282" spans="1:7" ht="24" customHeight="1">
      <c r="A282" s="9">
        <v>52170</v>
      </c>
      <c r="B282" s="10">
        <v>8.7366938751840735</v>
      </c>
      <c r="C282" s="10">
        <v>18.779083330041431</v>
      </c>
      <c r="D282" s="10">
        <v>26.407178635169661</v>
      </c>
      <c r="E282" s="10">
        <v>1718.4305308389096</v>
      </c>
      <c r="F282" s="10">
        <v>3165.2660964420506</v>
      </c>
      <c r="G282" s="10">
        <v>4248.2687481304902</v>
      </c>
    </row>
    <row r="283" spans="1:7" ht="24" customHeight="1">
      <c r="A283" s="9">
        <v>52200</v>
      </c>
      <c r="B283" s="10">
        <v>8.6459932135987856</v>
      </c>
      <c r="C283" s="10">
        <v>18.616854121154571</v>
      </c>
      <c r="D283" s="10">
        <v>26.67667551366867</v>
      </c>
      <c r="E283" s="10">
        <v>1727.0765240525084</v>
      </c>
      <c r="F283" s="10">
        <v>3183.8829505632052</v>
      </c>
      <c r="G283" s="10">
        <v>4274.9454236441588</v>
      </c>
    </row>
    <row r="284" spans="1:7" ht="24" customHeight="1">
      <c r="A284" s="9">
        <v>52231</v>
      </c>
      <c r="B284" s="10">
        <v>8.6715672774234918</v>
      </c>
      <c r="C284" s="10">
        <v>18.29898967912732</v>
      </c>
      <c r="D284" s="10">
        <v>26.750242207591331</v>
      </c>
      <c r="E284" s="10">
        <v>1735.7480913299319</v>
      </c>
      <c r="F284" s="10">
        <v>3202.1819402423325</v>
      </c>
      <c r="G284" s="10">
        <v>4301.6956658517502</v>
      </c>
    </row>
    <row r="285" spans="1:7" ht="24" customHeight="1">
      <c r="A285" s="9">
        <v>52262</v>
      </c>
      <c r="B285" s="10">
        <v>8.7041445758297868</v>
      </c>
      <c r="C285" s="10">
        <v>18.38956939452282</v>
      </c>
      <c r="D285" s="10">
        <v>26.92875551105681</v>
      </c>
      <c r="E285" s="10">
        <v>1744.4522359057617</v>
      </c>
      <c r="F285" s="10">
        <v>3220.5715096368554</v>
      </c>
      <c r="G285" s="10">
        <v>4328.624421362807</v>
      </c>
    </row>
    <row r="286" spans="1:7" ht="24" customHeight="1">
      <c r="A286" s="9">
        <v>52290</v>
      </c>
      <c r="B286" s="10">
        <v>8.6456794840557905</v>
      </c>
      <c r="C286" s="10">
        <v>18.293440741711041</v>
      </c>
      <c r="D286" s="10">
        <v>26.837110481139462</v>
      </c>
      <c r="E286" s="10">
        <v>1753.0979153898174</v>
      </c>
      <c r="F286" s="10">
        <v>3238.8649503785664</v>
      </c>
      <c r="G286" s="10">
        <v>4355.4615318439464</v>
      </c>
    </row>
    <row r="287" spans="1:7" ht="24" customHeight="1">
      <c r="A287" s="9">
        <v>52321</v>
      </c>
      <c r="B287" s="10">
        <v>8.8962923578988011</v>
      </c>
      <c r="C287" s="10">
        <v>18.236765272049521</v>
      </c>
      <c r="D287" s="10">
        <v>26.709705438439411</v>
      </c>
      <c r="E287" s="10">
        <v>1761.9942077477162</v>
      </c>
      <c r="F287" s="10">
        <v>3257.1017156506159</v>
      </c>
      <c r="G287" s="10">
        <v>4382.1712372823858</v>
      </c>
    </row>
    <row r="288" spans="1:7" ht="24" customHeight="1">
      <c r="A288" s="9">
        <v>52351</v>
      </c>
      <c r="B288" s="10">
        <v>8.99406688108661</v>
      </c>
      <c r="C288" s="10">
        <v>18.371708260952801</v>
      </c>
      <c r="D288" s="10">
        <v>26.47408550610999</v>
      </c>
      <c r="E288" s="10">
        <v>1770.9882746288029</v>
      </c>
      <c r="F288" s="10">
        <v>3275.4734239115687</v>
      </c>
      <c r="G288" s="10">
        <v>4408.6453227884958</v>
      </c>
    </row>
    <row r="289" spans="1:7" ht="24" customHeight="1">
      <c r="A289" s="9">
        <v>52382</v>
      </c>
      <c r="B289" s="10">
        <v>9.0963375368705783</v>
      </c>
      <c r="C289" s="10">
        <v>18.533376204380598</v>
      </c>
      <c r="D289" s="10">
        <v>26.39384870172762</v>
      </c>
      <c r="E289" s="10">
        <v>1780.0846121656734</v>
      </c>
      <c r="F289" s="10">
        <v>3294.0068001159493</v>
      </c>
      <c r="G289" s="10">
        <v>4435.0391714902235</v>
      </c>
    </row>
    <row r="290" spans="1:7" ht="24" customHeight="1">
      <c r="A290" s="9">
        <v>52412</v>
      </c>
      <c r="B290" s="10">
        <v>8.866031635116542</v>
      </c>
      <c r="C290" s="10">
        <v>18.702775687146641</v>
      </c>
      <c r="D290" s="10">
        <v>26.69139679246473</v>
      </c>
      <c r="E290" s="10">
        <v>1788.95064380079</v>
      </c>
      <c r="F290" s="10">
        <v>3312.709575803096</v>
      </c>
      <c r="G290" s="10">
        <v>4461.7305682826882</v>
      </c>
    </row>
    <row r="291" spans="1:7" ht="24" customHeight="1">
      <c r="A291" s="9">
        <v>52443</v>
      </c>
      <c r="B291" s="10">
        <v>9.1323210375383042</v>
      </c>
      <c r="C291" s="10">
        <v>18.496294775852679</v>
      </c>
      <c r="D291" s="10">
        <v>26.628868999364389</v>
      </c>
      <c r="E291" s="10">
        <v>1798.0829648383283</v>
      </c>
      <c r="F291" s="10">
        <v>3331.2058705789486</v>
      </c>
      <c r="G291" s="10">
        <v>4488.3594372820526</v>
      </c>
    </row>
    <row r="292" spans="1:7" ht="24" customHeight="1">
      <c r="A292" s="9">
        <v>52474</v>
      </c>
      <c r="B292" s="10">
        <v>9.0301114925960064</v>
      </c>
      <c r="C292" s="10">
        <v>18.714915141306388</v>
      </c>
      <c r="D292" s="10">
        <v>27.12446159806677</v>
      </c>
      <c r="E292" s="10">
        <v>1807.1130763309243</v>
      </c>
      <c r="F292" s="10">
        <v>3349.920785720255</v>
      </c>
      <c r="G292" s="10">
        <v>4515.4838988801193</v>
      </c>
    </row>
    <row r="293" spans="1:7" ht="24" customHeight="1">
      <c r="A293" s="9">
        <v>52504</v>
      </c>
      <c r="B293" s="10">
        <v>9.3826089217589015</v>
      </c>
      <c r="C293" s="10">
        <v>18.61523206646461</v>
      </c>
      <c r="D293" s="10">
        <v>26.85135670240652</v>
      </c>
      <c r="E293" s="10">
        <v>1816.4956852526832</v>
      </c>
      <c r="F293" s="10">
        <v>3368.5360177867196</v>
      </c>
      <c r="G293" s="10">
        <v>4542.3352555825259</v>
      </c>
    </row>
    <row r="294" spans="1:7" ht="24" customHeight="1">
      <c r="A294" s="9">
        <v>52535</v>
      </c>
      <c r="B294" s="10">
        <v>8.9808267157436603</v>
      </c>
      <c r="C294" s="10">
        <v>18.480136190982648</v>
      </c>
      <c r="D294" s="10">
        <v>26.843914709476849</v>
      </c>
      <c r="E294" s="10">
        <v>1825.4765119684268</v>
      </c>
      <c r="F294" s="10">
        <v>3387.0161539777023</v>
      </c>
      <c r="G294" s="10">
        <v>4569.1791702920027</v>
      </c>
    </row>
    <row r="295" spans="1:7" ht="24" customHeight="1">
      <c r="A295" s="9">
        <v>52565</v>
      </c>
      <c r="B295" s="10">
        <v>8.9393530518518673</v>
      </c>
      <c r="C295" s="10">
        <v>18.314287819813671</v>
      </c>
      <c r="D295" s="10">
        <v>26.5424194744046</v>
      </c>
      <c r="E295" s="10">
        <v>1834.4158650202787</v>
      </c>
      <c r="F295" s="10">
        <v>3405.330441797516</v>
      </c>
      <c r="G295" s="10">
        <v>4595.7215897664073</v>
      </c>
    </row>
    <row r="296" spans="1:7" ht="24" customHeight="1">
      <c r="A296" s="9">
        <v>52596</v>
      </c>
      <c r="B296" s="10">
        <v>8.7842958564249329</v>
      </c>
      <c r="C296" s="10">
        <v>18.262745735738012</v>
      </c>
      <c r="D296" s="10">
        <v>26.496562797577099</v>
      </c>
      <c r="E296" s="10">
        <v>1843.2001608767036</v>
      </c>
      <c r="F296" s="10">
        <v>3423.593187533254</v>
      </c>
      <c r="G296" s="10">
        <v>4622.2181525639844</v>
      </c>
    </row>
    <row r="297" spans="1:7" ht="24" customHeight="1">
      <c r="A297" s="9">
        <v>52627</v>
      </c>
      <c r="B297" s="10">
        <v>8.8504699488928509</v>
      </c>
      <c r="C297" s="10">
        <v>18.34418488996425</v>
      </c>
      <c r="D297" s="10">
        <v>26.680956874712141</v>
      </c>
      <c r="E297" s="10">
        <v>1852.0506308255965</v>
      </c>
      <c r="F297" s="10">
        <v>3441.9373724232182</v>
      </c>
      <c r="G297" s="10">
        <v>4648.8991094386965</v>
      </c>
    </row>
    <row r="298" spans="1:7" ht="24" customHeight="1">
      <c r="A298" s="9">
        <v>52656</v>
      </c>
      <c r="B298" s="10">
        <v>8.9853750541317368</v>
      </c>
      <c r="C298" s="10">
        <v>17.92579092326605</v>
      </c>
      <c r="D298" s="10">
        <v>26.915107896350492</v>
      </c>
      <c r="E298" s="10">
        <v>1861.0360058797282</v>
      </c>
      <c r="F298" s="10">
        <v>3459.8631633464843</v>
      </c>
      <c r="G298" s="10">
        <v>4675.814217335047</v>
      </c>
    </row>
    <row r="299" spans="1:7" ht="24" customHeight="1">
      <c r="A299" s="9">
        <v>52687</v>
      </c>
      <c r="B299" s="10">
        <v>8.8676884806443468</v>
      </c>
      <c r="C299" s="10">
        <v>18.264545463675859</v>
      </c>
      <c r="D299" s="10">
        <v>26.761256520933781</v>
      </c>
      <c r="E299" s="10">
        <v>1869.9036943603726</v>
      </c>
      <c r="F299" s="10">
        <v>3478.1277088101601</v>
      </c>
      <c r="G299" s="10">
        <v>4702.5754738559808</v>
      </c>
    </row>
    <row r="300" spans="1:7" ht="24" customHeight="1">
      <c r="A300" s="9">
        <v>52717</v>
      </c>
      <c r="B300" s="10">
        <v>9.2073495174040545</v>
      </c>
      <c r="C300" s="10">
        <v>17.933550449687569</v>
      </c>
      <c r="D300" s="10">
        <v>26.54294122348529</v>
      </c>
      <c r="E300" s="10">
        <v>1879.1110438777766</v>
      </c>
      <c r="F300" s="10">
        <v>3496.0612592598477</v>
      </c>
      <c r="G300" s="10">
        <v>4729.1184150794661</v>
      </c>
    </row>
    <row r="301" spans="1:7" ht="24" customHeight="1">
      <c r="A301" s="9">
        <v>52748</v>
      </c>
      <c r="B301" s="10">
        <v>8.965015360579855</v>
      </c>
      <c r="C301" s="10">
        <v>18.236371641710321</v>
      </c>
      <c r="D301" s="10">
        <v>26.671945014018089</v>
      </c>
      <c r="E301" s="10">
        <v>1888.0760592383565</v>
      </c>
      <c r="F301" s="10">
        <v>3514.297630901558</v>
      </c>
      <c r="G301" s="10">
        <v>4755.7903600934842</v>
      </c>
    </row>
    <row r="302" spans="1:7" ht="24" customHeight="1">
      <c r="A302" s="9">
        <v>52778</v>
      </c>
      <c r="B302" s="10">
        <v>8.7175536786294288</v>
      </c>
      <c r="C302" s="10">
        <v>18.250880905924529</v>
      </c>
      <c r="D302" s="10">
        <v>26.555998031972191</v>
      </c>
      <c r="E302" s="10">
        <v>1896.7936129169859</v>
      </c>
      <c r="F302" s="10">
        <v>3532.5485118074826</v>
      </c>
      <c r="G302" s="10">
        <v>4782.3463581254564</v>
      </c>
    </row>
    <row r="303" spans="1:7" ht="24" customHeight="1">
      <c r="A303" s="9">
        <v>52809</v>
      </c>
      <c r="B303" s="10">
        <v>9.1028313575909579</v>
      </c>
      <c r="C303" s="10">
        <v>18.681915581483281</v>
      </c>
      <c r="D303" s="10">
        <v>26.745043981153689</v>
      </c>
      <c r="E303" s="10">
        <v>1905.8964442745769</v>
      </c>
      <c r="F303" s="10">
        <v>3551.2304273889658</v>
      </c>
      <c r="G303" s="10">
        <v>4809.0914021066101</v>
      </c>
    </row>
    <row r="304" spans="1:7" ht="24" customHeight="1">
      <c r="A304" s="9">
        <v>52840</v>
      </c>
      <c r="B304" s="10">
        <v>8.8336311247935555</v>
      </c>
      <c r="C304" s="10">
        <v>18.763007487334558</v>
      </c>
      <c r="D304" s="10">
        <v>27.040776197376541</v>
      </c>
      <c r="E304" s="10">
        <v>1914.7300753993704</v>
      </c>
      <c r="F304" s="10">
        <v>3569.9934348763004</v>
      </c>
      <c r="G304" s="10">
        <v>4836.1321783039866</v>
      </c>
    </row>
    <row r="305" spans="1:7" ht="24" customHeight="1">
      <c r="A305" s="9">
        <v>52870</v>
      </c>
      <c r="B305" s="10">
        <v>8.7250529611078491</v>
      </c>
      <c r="C305" s="10">
        <v>18.752919260224189</v>
      </c>
      <c r="D305" s="10">
        <v>27.294081171389731</v>
      </c>
      <c r="E305" s="10">
        <v>1923.4551283604783</v>
      </c>
      <c r="F305" s="10">
        <v>3588.7463541365246</v>
      </c>
      <c r="G305" s="10">
        <v>4863.4262594753764</v>
      </c>
    </row>
    <row r="306" spans="1:7" ht="24" customHeight="1">
      <c r="A306" s="9">
        <v>52901</v>
      </c>
      <c r="B306" s="10">
        <v>8.6762275063108518</v>
      </c>
      <c r="C306" s="10">
        <v>18.381623548979409</v>
      </c>
      <c r="D306" s="10">
        <v>27.11363318004533</v>
      </c>
      <c r="E306" s="10">
        <v>1932.1313558667891</v>
      </c>
      <c r="F306" s="10">
        <v>3607.127977685504</v>
      </c>
      <c r="G306" s="10">
        <v>4890.5398926554217</v>
      </c>
    </row>
    <row r="307" spans="1:7" ht="24" customHeight="1">
      <c r="A307" s="9">
        <v>52931</v>
      </c>
      <c r="B307" s="10">
        <v>8.830870098282503</v>
      </c>
      <c r="C307" s="10">
        <v>18.38556740315607</v>
      </c>
      <c r="D307" s="10">
        <v>27.20482295683178</v>
      </c>
      <c r="E307" s="10">
        <v>1940.9622259650716</v>
      </c>
      <c r="F307" s="10">
        <v>3625.5135450886601</v>
      </c>
      <c r="G307" s="10">
        <v>4917.7447156122535</v>
      </c>
    </row>
    <row r="308" spans="1:7" ht="24" customHeight="1">
      <c r="A308" s="9">
        <v>52962</v>
      </c>
      <c r="B308" s="10">
        <v>8.6877944955456314</v>
      </c>
      <c r="C308" s="10">
        <v>18.3877417724234</v>
      </c>
      <c r="D308" s="10">
        <v>26.77159051263698</v>
      </c>
      <c r="E308" s="10">
        <v>1949.6500204606173</v>
      </c>
      <c r="F308" s="10">
        <v>3643.9012868610835</v>
      </c>
      <c r="G308" s="10">
        <v>4944.5163061248904</v>
      </c>
    </row>
    <row r="309" spans="1:7" ht="24" customHeight="1">
      <c r="A309" s="9">
        <v>52993</v>
      </c>
      <c r="B309" s="10">
        <v>8.7859779652455927</v>
      </c>
      <c r="C309" s="10">
        <v>18.116335277490631</v>
      </c>
      <c r="D309" s="10">
        <v>26.4313279287162</v>
      </c>
      <c r="E309" s="10">
        <v>1958.4359984258629</v>
      </c>
      <c r="F309" s="10">
        <v>3662.0176221385741</v>
      </c>
      <c r="G309" s="10">
        <v>4970.9476340536066</v>
      </c>
    </row>
    <row r="310" spans="1:7" ht="24" customHeight="1">
      <c r="A310" s="9">
        <v>53021</v>
      </c>
      <c r="B310" s="10">
        <v>8.6849791512249794</v>
      </c>
      <c r="C310" s="10">
        <v>18.479299259542131</v>
      </c>
      <c r="D310" s="10">
        <v>26.054737944778029</v>
      </c>
      <c r="E310" s="10">
        <v>1967.1209775770878</v>
      </c>
      <c r="F310" s="10">
        <v>3680.4969213981162</v>
      </c>
      <c r="G310" s="10">
        <v>4997.0023719983847</v>
      </c>
    </row>
    <row r="311" spans="1:7" ht="24" customHeight="1">
      <c r="A311" s="9">
        <v>53052</v>
      </c>
      <c r="B311" s="10">
        <v>8.7703466048844803</v>
      </c>
      <c r="C311" s="10">
        <v>18.274671026789289</v>
      </c>
      <c r="D311" s="10">
        <v>26.115083864803641</v>
      </c>
      <c r="E311" s="10">
        <v>1975.8913241819723</v>
      </c>
      <c r="F311" s="10">
        <v>3698.7715924249055</v>
      </c>
      <c r="G311" s="10">
        <v>5023.1174558631883</v>
      </c>
    </row>
    <row r="312" spans="1:7" ht="24" customHeight="1">
      <c r="A312" s="9">
        <v>53082</v>
      </c>
      <c r="B312" s="10">
        <v>8.7291574677140034</v>
      </c>
      <c r="C312" s="10">
        <v>18.442780608093472</v>
      </c>
      <c r="D312" s="10">
        <v>26.187704642008612</v>
      </c>
      <c r="E312" s="10">
        <v>1984.6204816496863</v>
      </c>
      <c r="F312" s="10">
        <v>3717.214373032999</v>
      </c>
      <c r="G312" s="10">
        <v>5049.3051605051969</v>
      </c>
    </row>
    <row r="313" spans="1:7" ht="24" customHeight="1">
      <c r="A313" s="9">
        <v>53113</v>
      </c>
      <c r="B313" s="10">
        <v>8.7493320950522957</v>
      </c>
      <c r="C313" s="10">
        <v>18.293240345353752</v>
      </c>
      <c r="D313" s="10">
        <v>26.06031487494602</v>
      </c>
      <c r="E313" s="10">
        <v>1993.3698137447386</v>
      </c>
      <c r="F313" s="10">
        <v>3735.5076133783527</v>
      </c>
      <c r="G313" s="10">
        <v>5075.3654753801429</v>
      </c>
    </row>
    <row r="314" spans="1:7" ht="24" customHeight="1">
      <c r="A314" s="9">
        <v>53143</v>
      </c>
      <c r="B314" s="10">
        <v>8.7239090034133824</v>
      </c>
      <c r="C314" s="10">
        <v>18.15857580061493</v>
      </c>
      <c r="D314" s="10">
        <v>26.21132050053075</v>
      </c>
      <c r="E314" s="10">
        <v>2002.093722748152</v>
      </c>
      <c r="F314" s="10">
        <v>3753.6661891789677</v>
      </c>
      <c r="G314" s="10">
        <v>5101.5767958806737</v>
      </c>
    </row>
    <row r="315" spans="1:7" ht="24" customHeight="1">
      <c r="A315" s="9">
        <v>53174</v>
      </c>
      <c r="B315" s="10">
        <v>8.8931363633455476</v>
      </c>
      <c r="C315" s="10">
        <v>18.229577608750791</v>
      </c>
      <c r="D315" s="10">
        <v>26.439054373634459</v>
      </c>
      <c r="E315" s="10">
        <v>2010.9868591114976</v>
      </c>
      <c r="F315" s="10">
        <v>3771.8957667877185</v>
      </c>
      <c r="G315" s="10">
        <v>5128.0158502543081</v>
      </c>
    </row>
    <row r="316" spans="1:7" ht="24" customHeight="1">
      <c r="A316" s="9">
        <v>53205</v>
      </c>
      <c r="B316" s="10">
        <v>8.665582667112858</v>
      </c>
      <c r="C316" s="10">
        <v>18.160953141975369</v>
      </c>
      <c r="D316" s="10">
        <v>26.586059093275249</v>
      </c>
      <c r="E316" s="10">
        <v>2019.6524417786104</v>
      </c>
      <c r="F316" s="10">
        <v>3790.0567199296938</v>
      </c>
      <c r="G316" s="10">
        <v>5154.6019093475834</v>
      </c>
    </row>
    <row r="317" spans="1:7" ht="24" customHeight="1">
      <c r="A317" s="9">
        <v>53235</v>
      </c>
      <c r="B317" s="10">
        <v>8.6999046509720301</v>
      </c>
      <c r="C317" s="10">
        <v>18.181948346200901</v>
      </c>
      <c r="D317" s="10">
        <v>26.679184134156461</v>
      </c>
      <c r="E317" s="10">
        <v>2028.3523464295824</v>
      </c>
      <c r="F317" s="10">
        <v>3808.2386682758947</v>
      </c>
      <c r="G317" s="10">
        <v>5181.2810934817398</v>
      </c>
    </row>
    <row r="318" spans="1:7" ht="24" customHeight="1">
      <c r="A318" s="9">
        <v>53266</v>
      </c>
      <c r="B318" s="10">
        <v>8.5270648974494634</v>
      </c>
      <c r="C318" s="10">
        <v>18.136159383946051</v>
      </c>
      <c r="D318" s="10">
        <v>26.46984072237683</v>
      </c>
      <c r="E318" s="10">
        <v>2036.8794113270319</v>
      </c>
      <c r="F318" s="10">
        <v>3826.3748276598408</v>
      </c>
      <c r="G318" s="10">
        <v>5207.7509342041167</v>
      </c>
    </row>
    <row r="319" spans="1:7" ht="24" customHeight="1">
      <c r="A319" s="9">
        <v>53296</v>
      </c>
      <c r="B319" s="10">
        <v>8.5725782324693682</v>
      </c>
      <c r="C319" s="10">
        <v>18.08749257357249</v>
      </c>
      <c r="D319" s="10">
        <v>26.604507051216391</v>
      </c>
      <c r="E319" s="10">
        <v>2045.4519895595013</v>
      </c>
      <c r="F319" s="10">
        <v>3844.4623202334133</v>
      </c>
      <c r="G319" s="10">
        <v>5234.3554412553331</v>
      </c>
    </row>
    <row r="320" spans="1:7" ht="24" customHeight="1">
      <c r="A320" s="9">
        <v>53327</v>
      </c>
      <c r="B320" s="10">
        <v>8.2444345366361631</v>
      </c>
      <c r="C320" s="10">
        <v>18.440642317959369</v>
      </c>
      <c r="D320" s="10">
        <v>26.6199388906698</v>
      </c>
      <c r="E320" s="10">
        <v>2053.6964240961374</v>
      </c>
      <c r="F320" s="10">
        <v>3862.9029625513726</v>
      </c>
      <c r="G320" s="10">
        <v>5260.9753801460029</v>
      </c>
    </row>
    <row r="321" spans="1:7" ht="24" customHeight="1">
      <c r="A321" s="9">
        <v>53358</v>
      </c>
      <c r="B321" s="10">
        <v>8.4237532672386806</v>
      </c>
      <c r="C321" s="10">
        <v>18.19187618436445</v>
      </c>
      <c r="D321" s="10">
        <v>26.57428970774799</v>
      </c>
      <c r="E321" s="10">
        <v>2062.1201773633761</v>
      </c>
      <c r="F321" s="10">
        <v>3881.0948387357371</v>
      </c>
      <c r="G321" s="10">
        <v>5287.5496698537509</v>
      </c>
    </row>
    <row r="322" spans="1:7" ht="24" customHeight="1">
      <c r="A322" s="9">
        <v>53386</v>
      </c>
      <c r="B322" s="10">
        <v>8.4697024017104923</v>
      </c>
      <c r="C322" s="10">
        <v>18.169155322323149</v>
      </c>
      <c r="D322" s="10">
        <v>26.7952558936604</v>
      </c>
      <c r="E322" s="10">
        <v>2070.5898797650866</v>
      </c>
      <c r="F322" s="10">
        <v>3899.2639940580602</v>
      </c>
      <c r="G322" s="10">
        <v>5314.3449257474113</v>
      </c>
    </row>
    <row r="323" spans="1:7" ht="24" customHeight="1">
      <c r="A323" s="9">
        <v>53417</v>
      </c>
      <c r="B323" s="10">
        <v>8.3188786125897423</v>
      </c>
      <c r="C323" s="10">
        <v>18.16737205616209</v>
      </c>
      <c r="D323" s="10">
        <v>27.028549493504219</v>
      </c>
      <c r="E323" s="10">
        <v>2078.9087583776763</v>
      </c>
      <c r="F323" s="10">
        <v>3917.4313661142223</v>
      </c>
      <c r="G323" s="10">
        <v>5341.3734752409155</v>
      </c>
    </row>
    <row r="324" spans="1:7" ht="24" customHeight="1">
      <c r="A324" s="9">
        <v>53447</v>
      </c>
      <c r="B324" s="10">
        <v>8.4583687721092247</v>
      </c>
      <c r="C324" s="10">
        <v>17.879607988785661</v>
      </c>
      <c r="D324" s="10">
        <v>26.96697403493727</v>
      </c>
      <c r="E324" s="10">
        <v>2087.3671271497856</v>
      </c>
      <c r="F324" s="10">
        <v>3935.310974103008</v>
      </c>
      <c r="G324" s="10">
        <v>5368.3404492758527</v>
      </c>
    </row>
    <row r="325" spans="1:7" ht="24" customHeight="1">
      <c r="A325" s="9">
        <v>53478</v>
      </c>
      <c r="B325" s="10">
        <v>8.2472024436592619</v>
      </c>
      <c r="C325" s="10">
        <v>18.262696483088799</v>
      </c>
      <c r="D325" s="10">
        <v>26.379556403312559</v>
      </c>
      <c r="E325" s="10">
        <v>2095.6143295934448</v>
      </c>
      <c r="F325" s="10">
        <v>3953.5736705860968</v>
      </c>
      <c r="G325" s="10">
        <v>5394.7200056791653</v>
      </c>
    </row>
    <row r="326" spans="1:7" ht="24" customHeight="1">
      <c r="A326" s="9">
        <v>53508</v>
      </c>
      <c r="B326" s="10">
        <v>8.149613626449991</v>
      </c>
      <c r="C326" s="10">
        <v>18.032876293021669</v>
      </c>
      <c r="D326" s="10">
        <v>26.57915455500552</v>
      </c>
      <c r="E326" s="10">
        <v>2103.7639432198948</v>
      </c>
      <c r="F326" s="10">
        <v>3971.6065468791185</v>
      </c>
      <c r="G326" s="10">
        <v>5421.2991602341708</v>
      </c>
    </row>
    <row r="327" spans="1:7" ht="24" customHeight="1">
      <c r="A327" s="9">
        <v>53539</v>
      </c>
      <c r="B327" s="10">
        <v>8.2528349962235552</v>
      </c>
      <c r="C327" s="10">
        <v>17.901138258116589</v>
      </c>
      <c r="D327" s="10">
        <v>26.519736760380511</v>
      </c>
      <c r="E327" s="10">
        <v>2112.0167782161184</v>
      </c>
      <c r="F327" s="10">
        <v>3989.5076851372351</v>
      </c>
      <c r="G327" s="10">
        <v>5447.8188969945513</v>
      </c>
    </row>
    <row r="328" spans="1:7" ht="24" customHeight="1">
      <c r="A328" s="9">
        <v>53570</v>
      </c>
      <c r="B328" s="10">
        <v>8.043983477283291</v>
      </c>
      <c r="C328" s="10">
        <v>17.928043760619861</v>
      </c>
      <c r="D328" s="10">
        <v>26.134269898795541</v>
      </c>
      <c r="E328" s="10">
        <v>2120.0607616934017</v>
      </c>
      <c r="F328" s="10">
        <v>4007.4357288978549</v>
      </c>
      <c r="G328" s="10">
        <v>5473.9531668933469</v>
      </c>
    </row>
    <row r="329" spans="1:7" ht="24" customHeight="1">
      <c r="A329" s="9">
        <v>53600</v>
      </c>
      <c r="B329" s="10">
        <v>8.2488700493149736</v>
      </c>
      <c r="C329" s="10">
        <v>18.079192101615259</v>
      </c>
      <c r="D329" s="10">
        <v>25.930982032693461</v>
      </c>
      <c r="E329" s="10">
        <v>2128.3096317427166</v>
      </c>
      <c r="F329" s="10">
        <v>4025.5149209994702</v>
      </c>
      <c r="G329" s="10">
        <v>5499.8841489260403</v>
      </c>
    </row>
    <row r="330" spans="1:7" ht="24" customHeight="1">
      <c r="A330" s="9">
        <v>53631</v>
      </c>
      <c r="B330" s="10">
        <v>8.0907592010944427</v>
      </c>
      <c r="C330" s="10">
        <v>17.995418012143091</v>
      </c>
      <c r="D330" s="10">
        <v>26.205767709946489</v>
      </c>
      <c r="E330" s="10">
        <v>2136.4003909438111</v>
      </c>
      <c r="F330" s="10">
        <v>4043.5103390116133</v>
      </c>
      <c r="G330" s="10">
        <v>5526.0899166359868</v>
      </c>
    </row>
    <row r="331" spans="1:7" ht="24" customHeight="1">
      <c r="A331" s="9">
        <v>53661</v>
      </c>
      <c r="B331" s="10">
        <v>7.8786315469678811</v>
      </c>
      <c r="C331" s="10">
        <v>18.57823254315235</v>
      </c>
      <c r="D331" s="10">
        <v>26.88811855769745</v>
      </c>
      <c r="E331" s="10">
        <v>2144.279022490779</v>
      </c>
      <c r="F331" s="10">
        <v>4062.0885715547656</v>
      </c>
      <c r="G331" s="10">
        <v>5552.9780351936843</v>
      </c>
    </row>
    <row r="332" spans="1:7" ht="24" customHeight="1">
      <c r="A332" s="9">
        <v>53692</v>
      </c>
      <c r="B332" s="10">
        <v>8.1975875312227799</v>
      </c>
      <c r="C332" s="10">
        <v>18.32581375351992</v>
      </c>
      <c r="D332" s="10">
        <v>26.795521464869129</v>
      </c>
      <c r="E332" s="10">
        <v>2152.4766100220018</v>
      </c>
      <c r="F332" s="10">
        <v>4080.4143853082855</v>
      </c>
      <c r="G332" s="10">
        <v>5579.7735566585534</v>
      </c>
    </row>
    <row r="333" spans="1:7" ht="24" customHeight="1">
      <c r="A333" s="9">
        <v>53723</v>
      </c>
      <c r="B333" s="10">
        <v>8.4317128379607311</v>
      </c>
      <c r="C333" s="10">
        <v>18.137208550373089</v>
      </c>
      <c r="D333" s="10">
        <v>26.827667912064499</v>
      </c>
      <c r="E333" s="10">
        <v>2160.9083228599625</v>
      </c>
      <c r="F333" s="10">
        <v>4098.5515938586586</v>
      </c>
      <c r="G333" s="10">
        <v>5606.6012245706179</v>
      </c>
    </row>
    <row r="334" spans="1:7" ht="24" customHeight="1">
      <c r="A334" s="9">
        <v>53751</v>
      </c>
      <c r="B334" s="10">
        <v>8.4147619996069807</v>
      </c>
      <c r="C334" s="10">
        <v>17.907363621578039</v>
      </c>
      <c r="D334" s="10">
        <v>27.02290837336022</v>
      </c>
      <c r="E334" s="10">
        <v>2169.3230848595695</v>
      </c>
      <c r="F334" s="10">
        <v>4116.4589574802367</v>
      </c>
      <c r="G334" s="10">
        <v>5633.6241329439781</v>
      </c>
    </row>
    <row r="335" spans="1:7" ht="24" customHeight="1">
      <c r="A335" s="9">
        <v>53782</v>
      </c>
      <c r="B335" s="10">
        <v>8.1769568536351471</v>
      </c>
      <c r="C335" s="10">
        <v>17.833032717097009</v>
      </c>
      <c r="D335" s="10">
        <v>26.50285233503109</v>
      </c>
      <c r="E335" s="10">
        <v>2177.5000417132046</v>
      </c>
      <c r="F335" s="10">
        <v>4134.2919901973337</v>
      </c>
      <c r="G335" s="10">
        <v>5660.1269852790092</v>
      </c>
    </row>
    <row r="336" spans="1:7" ht="24" customHeight="1">
      <c r="A336" s="9">
        <v>53812</v>
      </c>
      <c r="B336" s="10">
        <v>8.1107645200590923</v>
      </c>
      <c r="C336" s="10">
        <v>18.001782726501009</v>
      </c>
      <c r="D336" s="10">
        <v>26.71507222264518</v>
      </c>
      <c r="E336" s="10">
        <v>2185.6108062332637</v>
      </c>
      <c r="F336" s="10">
        <v>4152.2937729238347</v>
      </c>
      <c r="G336" s="10">
        <v>5686.8420575016544</v>
      </c>
    </row>
    <row r="337" spans="1:7" ht="24" customHeight="1">
      <c r="A337" s="9">
        <v>53843</v>
      </c>
      <c r="B337" s="10">
        <v>8.3930975094285714</v>
      </c>
      <c r="C337" s="10">
        <v>17.992587926727541</v>
      </c>
      <c r="D337" s="10">
        <v>26.736665927008289</v>
      </c>
      <c r="E337" s="10">
        <v>2194.0039037426923</v>
      </c>
      <c r="F337" s="10">
        <v>4170.2863608505622</v>
      </c>
      <c r="G337" s="10">
        <v>5713.5787234286627</v>
      </c>
    </row>
    <row r="338" spans="1:7" ht="24" customHeight="1">
      <c r="A338" s="9">
        <v>53873</v>
      </c>
      <c r="B338" s="10">
        <v>8.2858506831339582</v>
      </c>
      <c r="C338" s="10">
        <v>17.516156754201798</v>
      </c>
      <c r="D338" s="10">
        <v>26.791576115567299</v>
      </c>
      <c r="E338" s="10">
        <v>2202.2897544258262</v>
      </c>
      <c r="F338" s="10">
        <v>4187.802517604764</v>
      </c>
      <c r="G338" s="10">
        <v>5740.37029954423</v>
      </c>
    </row>
    <row r="339" spans="1:7" ht="24" customHeight="1">
      <c r="A339" s="9">
        <v>53904</v>
      </c>
      <c r="B339" s="10">
        <v>8.096607793297153</v>
      </c>
      <c r="C339" s="10">
        <v>18.22340014669771</v>
      </c>
      <c r="D339" s="10">
        <v>26.450103668751581</v>
      </c>
      <c r="E339" s="10">
        <v>2210.3863622191234</v>
      </c>
      <c r="F339" s="10">
        <v>4206.0259177514617</v>
      </c>
      <c r="G339" s="10">
        <v>5766.8204032129815</v>
      </c>
    </row>
    <row r="340" spans="1:7" ht="24" customHeight="1">
      <c r="A340" s="9">
        <v>53935</v>
      </c>
      <c r="B340" s="10">
        <v>8.2596451997496843</v>
      </c>
      <c r="C340" s="10">
        <v>17.945950236907269</v>
      </c>
      <c r="D340" s="10">
        <v>26.567172552506239</v>
      </c>
      <c r="E340" s="10">
        <v>2218.6460074188731</v>
      </c>
      <c r="F340" s="10">
        <v>4223.971867988369</v>
      </c>
      <c r="G340" s="10">
        <v>5793.3875757654878</v>
      </c>
    </row>
    <row r="341" spans="1:7" ht="24" customHeight="1">
      <c r="A341" s="9">
        <v>53965</v>
      </c>
      <c r="B341" s="10">
        <v>8.1417919225427795</v>
      </c>
      <c r="C341" s="10">
        <v>18.060939266771129</v>
      </c>
      <c r="D341" s="10">
        <v>26.72242646789255</v>
      </c>
      <c r="E341" s="10">
        <v>2226.7877993414158</v>
      </c>
      <c r="F341" s="10">
        <v>4242.0328072551401</v>
      </c>
      <c r="G341" s="10">
        <v>5820.1100022333803</v>
      </c>
    </row>
    <row r="342" spans="1:7" ht="24" customHeight="1">
      <c r="A342" s="9">
        <v>53996</v>
      </c>
      <c r="B342" s="10">
        <v>7.9096665803531323</v>
      </c>
      <c r="C342" s="10">
        <v>18.112979509202891</v>
      </c>
      <c r="D342" s="10">
        <v>26.70964072520837</v>
      </c>
      <c r="E342" s="10">
        <v>2234.697465921769</v>
      </c>
      <c r="F342" s="10">
        <v>4260.145786764343</v>
      </c>
      <c r="G342" s="10">
        <v>5846.8196429585887</v>
      </c>
    </row>
    <row r="343" spans="1:7" ht="24" customHeight="1">
      <c r="A343" s="9">
        <v>54026</v>
      </c>
      <c r="B343" s="10">
        <v>8.3761891676522282</v>
      </c>
      <c r="C343" s="10">
        <v>17.98788142477861</v>
      </c>
      <c r="D343" s="10">
        <v>27.002573150533859</v>
      </c>
      <c r="E343" s="10">
        <v>2243.0736550894212</v>
      </c>
      <c r="F343" s="10">
        <v>4278.1336681891216</v>
      </c>
      <c r="G343" s="10">
        <v>5873.8222161091226</v>
      </c>
    </row>
    <row r="344" spans="1:7" ht="24" customHeight="1">
      <c r="A344" s="9">
        <v>54057</v>
      </c>
      <c r="B344" s="10">
        <v>8.4774130738574058</v>
      </c>
      <c r="C344" s="10">
        <v>17.404507842006751</v>
      </c>
      <c r="D344" s="10">
        <v>27.053959625286549</v>
      </c>
      <c r="E344" s="10">
        <v>2251.5510681632786</v>
      </c>
      <c r="F344" s="10">
        <v>4295.5381760311284</v>
      </c>
      <c r="G344" s="10">
        <v>5900.8761757344091</v>
      </c>
    </row>
    <row r="345" spans="1:7" ht="24" customHeight="1">
      <c r="A345" s="9">
        <v>54088</v>
      </c>
      <c r="B345" s="10">
        <v>8.4736790857541564</v>
      </c>
      <c r="C345" s="10">
        <v>17.34044942057335</v>
      </c>
      <c r="D345" s="10">
        <v>27.3268766510073</v>
      </c>
      <c r="E345" s="10">
        <v>2260.0247472490328</v>
      </c>
      <c r="F345" s="10">
        <v>4312.8786254517017</v>
      </c>
      <c r="G345" s="10">
        <v>5928.2030523854164</v>
      </c>
    </row>
    <row r="346" spans="1:7" ht="24" customHeight="1">
      <c r="A346" s="9">
        <v>54117</v>
      </c>
      <c r="B346" s="10">
        <v>8.0909213558848023</v>
      </c>
      <c r="C346" s="10">
        <v>17.829181041052831</v>
      </c>
      <c r="D346" s="10">
        <v>27.359900307460521</v>
      </c>
      <c r="E346" s="10">
        <v>2268.1156686049176</v>
      </c>
      <c r="F346" s="10">
        <v>4330.7078064927546</v>
      </c>
      <c r="G346" s="10">
        <v>5955.5629526928769</v>
      </c>
    </row>
    <row r="347" spans="1:7" ht="24" customHeight="1">
      <c r="A347" s="9">
        <v>54148</v>
      </c>
      <c r="B347" s="10">
        <v>8.3414256212540749</v>
      </c>
      <c r="C347" s="10">
        <v>17.62585654429677</v>
      </c>
      <c r="D347" s="10">
        <v>26.941637392595108</v>
      </c>
      <c r="E347" s="10">
        <v>2276.4570942261716</v>
      </c>
      <c r="F347" s="10">
        <v>4348.3336630370513</v>
      </c>
      <c r="G347" s="10">
        <v>5982.504590085472</v>
      </c>
    </row>
    <row r="348" spans="1:7" ht="24" customHeight="1">
      <c r="A348" s="9">
        <v>54178</v>
      </c>
      <c r="B348" s="10">
        <v>7.7190099007657409</v>
      </c>
      <c r="C348" s="10">
        <v>17.736106316581751</v>
      </c>
      <c r="D348" s="10">
        <v>27.300625935183231</v>
      </c>
      <c r="E348" s="10">
        <v>2284.1761041269374</v>
      </c>
      <c r="F348" s="10">
        <v>4366.0697693536331</v>
      </c>
      <c r="G348" s="10">
        <v>6009.8052160206553</v>
      </c>
    </row>
    <row r="349" spans="1:7" ht="24" customHeight="1">
      <c r="A349" s="9">
        <v>54209</v>
      </c>
      <c r="B349" s="10">
        <v>8.1586359227326284</v>
      </c>
      <c r="C349" s="10">
        <v>17.81800279910021</v>
      </c>
      <c r="D349" s="10">
        <v>27.254030880263599</v>
      </c>
      <c r="E349" s="10">
        <v>2292.33474004967</v>
      </c>
      <c r="F349" s="10">
        <v>4383.8877721527333</v>
      </c>
      <c r="G349" s="10">
        <v>6037.0592469009189</v>
      </c>
    </row>
    <row r="350" spans="1:7" ht="24" customHeight="1">
      <c r="A350" s="9">
        <v>54239</v>
      </c>
      <c r="B350" s="10">
        <v>8.2453517591648051</v>
      </c>
      <c r="C350" s="10">
        <v>17.860069227176609</v>
      </c>
      <c r="D350" s="10">
        <v>27.04934139625038</v>
      </c>
      <c r="E350" s="10">
        <v>2300.5800918088348</v>
      </c>
      <c r="F350" s="10">
        <v>4401.7478413799099</v>
      </c>
      <c r="G350" s="10">
        <v>6064.1085882971693</v>
      </c>
    </row>
    <row r="351" spans="1:7" ht="24" customHeight="1">
      <c r="A351" s="9">
        <v>54270</v>
      </c>
      <c r="B351" s="10">
        <v>8.2802580186039449</v>
      </c>
      <c r="C351" s="10">
        <v>18.139271336140151</v>
      </c>
      <c r="D351" s="10">
        <v>27.256979979386411</v>
      </c>
      <c r="E351" s="10">
        <v>2308.8603498274388</v>
      </c>
      <c r="F351" s="10">
        <v>4419.8871127160501</v>
      </c>
      <c r="G351" s="10">
        <v>6091.3655682765557</v>
      </c>
    </row>
    <row r="352" spans="1:7" ht="24" customHeight="1">
      <c r="A352" s="9">
        <v>54301</v>
      </c>
      <c r="B352" s="10">
        <v>8.3399351678813218</v>
      </c>
      <c r="C352" s="10">
        <v>18.248198498332389</v>
      </c>
      <c r="D352" s="10">
        <v>27.343487714078041</v>
      </c>
      <c r="E352" s="10">
        <v>2317.2002849953201</v>
      </c>
      <c r="F352" s="10">
        <v>4438.1353112143825</v>
      </c>
      <c r="G352" s="10">
        <v>6118.7090559906337</v>
      </c>
    </row>
    <row r="353" spans="1:7" ht="24" customHeight="1">
      <c r="A353" s="9">
        <v>54331</v>
      </c>
      <c r="B353" s="10">
        <v>8.7140998419467905</v>
      </c>
      <c r="C353" s="10">
        <v>18.31637755840347</v>
      </c>
      <c r="D353" s="10">
        <v>27.61536642270676</v>
      </c>
      <c r="E353" s="10">
        <v>2325.9143848372669</v>
      </c>
      <c r="F353" s="10">
        <v>4456.4516887727859</v>
      </c>
      <c r="G353" s="10">
        <v>6146.3244224133405</v>
      </c>
    </row>
    <row r="354" spans="1:7" ht="24" customHeight="1">
      <c r="A354" s="9">
        <v>54362</v>
      </c>
      <c r="B354" s="10">
        <v>8.45787184913479</v>
      </c>
      <c r="C354" s="10">
        <v>18.480958800239929</v>
      </c>
      <c r="D354" s="10">
        <v>27.379343256865472</v>
      </c>
      <c r="E354" s="10">
        <v>2334.3722566864017</v>
      </c>
      <c r="F354" s="10">
        <v>4474.9326475730259</v>
      </c>
      <c r="G354" s="10">
        <v>6173.7037656702059</v>
      </c>
    </row>
    <row r="355" spans="1:7" ht="24" customHeight="1">
      <c r="A355" s="9">
        <v>54392</v>
      </c>
      <c r="B355" s="10">
        <v>8.4539944023149474</v>
      </c>
      <c r="C355" s="10">
        <v>18.39014973589838</v>
      </c>
      <c r="D355" s="10">
        <v>27.183580301405531</v>
      </c>
      <c r="E355" s="10">
        <v>2342.8262510887166</v>
      </c>
      <c r="F355" s="10">
        <v>4493.3227973089242</v>
      </c>
      <c r="G355" s="10">
        <v>6200.8873459716115</v>
      </c>
    </row>
    <row r="356" spans="1:7" ht="24" customHeight="1">
      <c r="A356" s="9">
        <v>54423</v>
      </c>
      <c r="B356" s="10">
        <v>8.4983913057390055</v>
      </c>
      <c r="C356" s="10">
        <v>18.161004521509309</v>
      </c>
      <c r="D356" s="10">
        <v>27.07000899134346</v>
      </c>
      <c r="E356" s="10">
        <v>2351.3246423944556</v>
      </c>
      <c r="F356" s="10">
        <v>4511.4838018304335</v>
      </c>
      <c r="G356" s="10">
        <v>6227.9573549629549</v>
      </c>
    </row>
    <row r="357" spans="1:7" ht="24" customHeight="1">
      <c r="A357" s="9">
        <v>54454</v>
      </c>
      <c r="B357" s="10">
        <v>8.2958678067707297</v>
      </c>
      <c r="C357" s="10">
        <v>18.09266251439476</v>
      </c>
      <c r="D357" s="10">
        <v>26.953448409409251</v>
      </c>
      <c r="E357" s="10">
        <v>2359.6205102012264</v>
      </c>
      <c r="F357" s="10">
        <v>4529.5764643448283</v>
      </c>
      <c r="G357" s="10">
        <v>6254.9108033723642</v>
      </c>
    </row>
    <row r="358" spans="1:7" ht="24" customHeight="1">
      <c r="A358" s="9">
        <v>54482</v>
      </c>
      <c r="B358" s="10">
        <v>8.447649105947221</v>
      </c>
      <c r="C358" s="10">
        <v>18.023130526385099</v>
      </c>
      <c r="D358" s="10">
        <v>27.01505756161805</v>
      </c>
      <c r="E358" s="10">
        <v>2368.0681593071736</v>
      </c>
      <c r="F358" s="10">
        <v>4547.5995948712134</v>
      </c>
      <c r="G358" s="10">
        <v>6281.9258609339822</v>
      </c>
    </row>
    <row r="359" spans="1:7" ht="24" customHeight="1">
      <c r="A359" s="9">
        <v>54513</v>
      </c>
      <c r="B359" s="10">
        <v>8.5181382767568721</v>
      </c>
      <c r="C359" s="10">
        <v>17.98052672251379</v>
      </c>
      <c r="D359" s="10">
        <v>27.10488124604035</v>
      </c>
      <c r="E359" s="10">
        <v>2376.5862975839304</v>
      </c>
      <c r="F359" s="10">
        <v>4565.5801215937272</v>
      </c>
      <c r="G359" s="10">
        <v>6309.0307421800226</v>
      </c>
    </row>
    <row r="360" spans="1:7" ht="24" customHeight="1">
      <c r="A360" s="9">
        <v>54543</v>
      </c>
      <c r="B360" s="10">
        <v>8.3400231438004084</v>
      </c>
      <c r="C360" s="10">
        <v>18.087739296822289</v>
      </c>
      <c r="D360" s="10">
        <v>27.26592696259468</v>
      </c>
      <c r="E360" s="10">
        <v>2384.9263207277309</v>
      </c>
      <c r="F360" s="10">
        <v>4583.6678608905495</v>
      </c>
      <c r="G360" s="10">
        <v>6336.2966691426172</v>
      </c>
    </row>
    <row r="361" spans="1:7" ht="24" customHeight="1">
      <c r="A361" s="9">
        <v>54574</v>
      </c>
      <c r="B361" s="10">
        <v>8.3475262782781101</v>
      </c>
      <c r="C361" s="10">
        <v>18.233321854571841</v>
      </c>
      <c r="D361" s="10">
        <v>27.115110617712158</v>
      </c>
      <c r="E361" s="10">
        <v>2393.273847006009</v>
      </c>
      <c r="F361" s="10">
        <v>4601.9011827451213</v>
      </c>
      <c r="G361" s="10">
        <v>6363.4117797603294</v>
      </c>
    </row>
    <row r="362" spans="1:7" ht="24" customHeight="1">
      <c r="A362" s="9">
        <v>54604</v>
      </c>
      <c r="B362" s="10">
        <v>8.5069125448308114</v>
      </c>
      <c r="C362" s="10">
        <v>18.40966856607702</v>
      </c>
      <c r="D362" s="10">
        <v>27.514910263214009</v>
      </c>
      <c r="E362" s="10">
        <v>2401.7807595508398</v>
      </c>
      <c r="F362" s="10">
        <v>4620.3108513111983</v>
      </c>
      <c r="G362" s="10">
        <v>6390.9266900235434</v>
      </c>
    </row>
    <row r="363" spans="1:7" ht="24" customHeight="1">
      <c r="A363" s="9">
        <v>54635</v>
      </c>
      <c r="B363" s="10">
        <v>8.9314368000323157</v>
      </c>
      <c r="C363" s="10">
        <v>18.174907854689991</v>
      </c>
      <c r="D363" s="10">
        <v>27.57873296778962</v>
      </c>
      <c r="E363" s="10">
        <v>2410.7121963508721</v>
      </c>
      <c r="F363" s="10">
        <v>4638.4857591658883</v>
      </c>
      <c r="G363" s="10">
        <v>6418.505422991333</v>
      </c>
    </row>
    <row r="364" spans="1:7" ht="24" customHeight="1">
      <c r="A364" s="9">
        <v>54666</v>
      </c>
      <c r="B364" s="10">
        <v>8.9175707901572423</v>
      </c>
      <c r="C364" s="10">
        <v>18.52004495519304</v>
      </c>
      <c r="D364" s="10">
        <v>27.21929726892176</v>
      </c>
      <c r="E364" s="10">
        <v>2419.6297671410293</v>
      </c>
      <c r="F364" s="10">
        <v>4657.0058041210814</v>
      </c>
      <c r="G364" s="10">
        <v>6445.7247202602548</v>
      </c>
    </row>
    <row r="365" spans="1:7" ht="24" customHeight="1">
      <c r="A365" s="9">
        <v>54696</v>
      </c>
      <c r="B365" s="10">
        <v>8.6211303005948139</v>
      </c>
      <c r="C365" s="10">
        <v>18.329782271009211</v>
      </c>
      <c r="D365" s="10">
        <v>27.343789138160901</v>
      </c>
      <c r="E365" s="10">
        <v>2428.2508974416241</v>
      </c>
      <c r="F365" s="10">
        <v>4675.3355863920906</v>
      </c>
      <c r="G365" s="10">
        <v>6473.0685093984157</v>
      </c>
    </row>
    <row r="366" spans="1:7" ht="24" customHeight="1">
      <c r="A366" s="9">
        <v>54727</v>
      </c>
      <c r="B366" s="10">
        <v>8.5228733502908653</v>
      </c>
      <c r="C366" s="10">
        <v>17.91909065269283</v>
      </c>
      <c r="D366" s="10">
        <v>27.552388680395779</v>
      </c>
      <c r="E366" s="10">
        <v>2436.773770791915</v>
      </c>
      <c r="F366" s="10">
        <v>4693.2546770447834</v>
      </c>
      <c r="G366" s="10">
        <v>6500.6208980788115</v>
      </c>
    </row>
    <row r="367" spans="1:7" ht="24" customHeight="1">
      <c r="A367" s="9">
        <v>54757</v>
      </c>
      <c r="B367" s="10">
        <v>8.7432059842558374</v>
      </c>
      <c r="C367" s="10">
        <v>17.888321619359889</v>
      </c>
      <c r="D367" s="10">
        <v>27.281145745591861</v>
      </c>
      <c r="E367" s="10">
        <v>2445.5169767761708</v>
      </c>
      <c r="F367" s="10">
        <v>4711.1429986641433</v>
      </c>
      <c r="G367" s="10">
        <v>6527.9020438244033</v>
      </c>
    </row>
    <row r="368" spans="1:7" ht="24" customHeight="1">
      <c r="A368" s="9">
        <v>54788</v>
      </c>
      <c r="B368" s="10">
        <v>8.5041720083754626</v>
      </c>
      <c r="C368" s="10">
        <v>17.288749177841051</v>
      </c>
      <c r="D368" s="10">
        <v>27.10565795787079</v>
      </c>
      <c r="E368" s="10">
        <v>2454.0211487845463</v>
      </c>
      <c r="F368" s="10">
        <v>4728.4317478419844</v>
      </c>
      <c r="G368" s="10">
        <v>6555.0077017822741</v>
      </c>
    </row>
    <row r="369" spans="1:7" ht="24" customHeight="1">
      <c r="A369" s="9">
        <v>54819</v>
      </c>
      <c r="B369" s="10">
        <v>7.9744789710362056</v>
      </c>
      <c r="C369" s="10">
        <v>17.731639580285449</v>
      </c>
      <c r="D369" s="10">
        <v>27.18899776728631</v>
      </c>
      <c r="E369" s="10">
        <v>2461.9956277555825</v>
      </c>
      <c r="F369" s="10">
        <v>4746.1633874222698</v>
      </c>
      <c r="G369" s="10">
        <v>6582.1966995495604</v>
      </c>
    </row>
    <row r="370" spans="1:7" ht="24" customHeight="1">
      <c r="A370" s="9">
        <v>54847</v>
      </c>
      <c r="B370" s="10">
        <v>7.829185910833985</v>
      </c>
      <c r="C370" s="10">
        <v>17.86873545774688</v>
      </c>
      <c r="D370" s="10">
        <v>27.414844669473499</v>
      </c>
      <c r="E370" s="10">
        <v>2469.8248136664165</v>
      </c>
      <c r="F370" s="10">
        <v>4764.0321228800167</v>
      </c>
      <c r="G370" s="10">
        <v>6609.6115442190339</v>
      </c>
    </row>
    <row r="371" spans="1:7" ht="24" customHeight="1">
      <c r="A371" s="9">
        <v>54878</v>
      </c>
      <c r="B371" s="10">
        <v>7.882238021903504</v>
      </c>
      <c r="C371" s="10">
        <v>18.16643176936304</v>
      </c>
      <c r="D371" s="10">
        <v>27.60652344462051</v>
      </c>
      <c r="E371" s="10">
        <v>2477.70705168832</v>
      </c>
      <c r="F371" s="10">
        <v>4782.1985546493797</v>
      </c>
      <c r="G371" s="10">
        <v>6637.2180676636544</v>
      </c>
    </row>
    <row r="372" spans="1:7" ht="24" customHeight="1">
      <c r="A372" s="9">
        <v>54908</v>
      </c>
      <c r="B372" s="10">
        <v>8.1591450120040463</v>
      </c>
      <c r="C372" s="10">
        <v>18.120055222882911</v>
      </c>
      <c r="D372" s="10">
        <v>27.514368482477948</v>
      </c>
      <c r="E372" s="10">
        <v>2485.8661967003241</v>
      </c>
      <c r="F372" s="10">
        <v>4800.3186098722626</v>
      </c>
      <c r="G372" s="10">
        <v>6664.7324361461324</v>
      </c>
    </row>
    <row r="373" spans="1:7" ht="24" customHeight="1">
      <c r="A373" s="9">
        <v>54939</v>
      </c>
      <c r="B373" s="10">
        <v>8.0712956939551077</v>
      </c>
      <c r="C373" s="10">
        <v>18.023982421893379</v>
      </c>
      <c r="D373" s="10">
        <v>27.659925143890181</v>
      </c>
      <c r="E373" s="10">
        <v>2493.9374923942792</v>
      </c>
      <c r="F373" s="10">
        <v>4818.342592294156</v>
      </c>
      <c r="G373" s="10">
        <v>6692.3923612900226</v>
      </c>
    </row>
    <row r="374" spans="1:7" ht="24" customHeight="1">
      <c r="A374" s="9">
        <v>54969</v>
      </c>
      <c r="B374" s="10">
        <v>8.2445603041251161</v>
      </c>
      <c r="C374" s="10">
        <v>18.194323929994429</v>
      </c>
      <c r="D374" s="10">
        <v>27.352476317025321</v>
      </c>
      <c r="E374" s="10">
        <v>2502.1820526984043</v>
      </c>
      <c r="F374" s="10">
        <v>4836.5369162241504</v>
      </c>
      <c r="G374" s="10">
        <v>6719.7448376070479</v>
      </c>
    </row>
    <row r="375" spans="1:7" ht="24" customHeight="1">
      <c r="A375" s="9">
        <v>55000</v>
      </c>
      <c r="B375" s="10">
        <v>7.78692596183555</v>
      </c>
      <c r="C375" s="10">
        <v>17.852729300850111</v>
      </c>
      <c r="D375" s="10">
        <v>27.289880461382381</v>
      </c>
      <c r="E375" s="10">
        <v>2509.9689786602398</v>
      </c>
      <c r="F375" s="10">
        <v>4854.3896455250006</v>
      </c>
      <c r="G375" s="10">
        <v>6747.0347180684303</v>
      </c>
    </row>
    <row r="376" spans="1:7" ht="24" customHeight="1">
      <c r="A376" s="9">
        <v>55031</v>
      </c>
      <c r="B376" s="10">
        <v>8.1599539546095912</v>
      </c>
      <c r="C376" s="10">
        <v>17.82163206852147</v>
      </c>
      <c r="D376" s="10">
        <v>27.252667186862709</v>
      </c>
      <c r="E376" s="10">
        <v>2518.1289326148494</v>
      </c>
      <c r="F376" s="10">
        <v>4872.211277593522</v>
      </c>
      <c r="G376" s="10">
        <v>6774.287385255293</v>
      </c>
    </row>
    <row r="377" spans="1:7" ht="24" customHeight="1">
      <c r="A377" s="9">
        <v>55061</v>
      </c>
      <c r="B377" s="10">
        <v>8.1117223384612771</v>
      </c>
      <c r="C377" s="10">
        <v>17.69254660717797</v>
      </c>
      <c r="D377" s="10">
        <v>26.942301285210309</v>
      </c>
      <c r="E377" s="10">
        <v>2526.2406549533107</v>
      </c>
      <c r="F377" s="10">
        <v>4889.9038242007</v>
      </c>
      <c r="G377" s="10">
        <v>6801.2296865405033</v>
      </c>
    </row>
    <row r="378" spans="1:7" ht="24" customHeight="1">
      <c r="A378" s="9">
        <v>55092</v>
      </c>
      <c r="B378" s="10">
        <v>7.9308744099980686</v>
      </c>
      <c r="C378" s="10">
        <v>17.76546023546598</v>
      </c>
      <c r="D378" s="10">
        <v>26.99890205674637</v>
      </c>
      <c r="E378" s="10">
        <v>2534.1715293633088</v>
      </c>
      <c r="F378" s="10">
        <v>4907.669284436166</v>
      </c>
      <c r="G378" s="10">
        <v>6828.2285885972497</v>
      </c>
    </row>
    <row r="379" spans="1:7" ht="24" customHeight="1">
      <c r="A379" s="9">
        <v>55122</v>
      </c>
      <c r="B379" s="10">
        <v>7.8759718305045681</v>
      </c>
      <c r="C379" s="10">
        <v>17.776885186204709</v>
      </c>
      <c r="D379" s="10">
        <v>27.05456927965497</v>
      </c>
      <c r="E379" s="10">
        <v>2542.0475011938133</v>
      </c>
      <c r="F379" s="10">
        <v>4925.4461696223707</v>
      </c>
      <c r="G379" s="10">
        <v>6855.2831578769046</v>
      </c>
    </row>
    <row r="380" spans="1:7" ht="24" customHeight="1">
      <c r="A380" s="9">
        <v>55153</v>
      </c>
      <c r="B380" s="10">
        <v>7.7450222457105156</v>
      </c>
      <c r="C380" s="10">
        <v>17.863519312145399</v>
      </c>
      <c r="D380" s="10">
        <v>26.996389059630019</v>
      </c>
      <c r="E380" s="10">
        <v>2549.7925234395238</v>
      </c>
      <c r="F380" s="10">
        <v>4943.3096889345161</v>
      </c>
      <c r="G380" s="10">
        <v>6882.2795469365346</v>
      </c>
    </row>
    <row r="381" spans="1:7" ht="4.5" customHeight="1"/>
    <row r="382" spans="1:7" ht="4.5" customHeight="1"/>
    <row r="383" spans="1:7" ht="4.5" customHeight="1"/>
    <row r="384" spans="1:7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G1"/>
    <mergeCell ref="A2:G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>
      <selection activeCell="H7" sqref="H7"/>
    </sheetView>
  </sheetViews>
  <sheetFormatPr defaultRowHeight="13.5"/>
  <cols>
    <col min="1" max="1" width="14" customWidth="1"/>
    <col min="2" max="2" width="22" customWidth="1"/>
    <col min="3" max="3" width="25" customWidth="1"/>
    <col min="4" max="4" width="22" customWidth="1"/>
  </cols>
  <sheetData>
    <row r="1" spans="1:4" ht="32.65" customHeight="1">
      <c r="A1" s="14" t="s">
        <v>367</v>
      </c>
      <c r="B1" s="14"/>
      <c r="C1" s="14"/>
      <c r="D1" s="14"/>
    </row>
    <row r="2" spans="1:4" ht="22.25" customHeight="1">
      <c r="A2" s="15" t="s">
        <v>368</v>
      </c>
      <c r="B2" s="15"/>
      <c r="C2" s="15"/>
      <c r="D2" s="15"/>
    </row>
    <row r="3" spans="1:4" ht="22.25" customHeight="1"/>
    <row r="4" spans="1:4" ht="42.4" customHeight="1">
      <c r="A4" s="3" t="s">
        <v>360</v>
      </c>
      <c r="B4" s="3" t="s">
        <v>369</v>
      </c>
      <c r="C4" s="3" t="s">
        <v>370</v>
      </c>
      <c r="D4" s="3" t="s">
        <v>371</v>
      </c>
    </row>
    <row r="5" spans="1:4" ht="22.25" customHeight="1">
      <c r="A5" s="9">
        <v>44895</v>
      </c>
      <c r="B5" s="10">
        <v>0.33634361233480181</v>
      </c>
      <c r="C5" s="10">
        <v>0.33634361233480181</v>
      </c>
      <c r="D5" s="10">
        <v>0.33634361233480181</v>
      </c>
    </row>
    <row r="6" spans="1:4" ht="22.25" customHeight="1">
      <c r="A6" s="9">
        <v>44926</v>
      </c>
      <c r="B6" s="10">
        <v>0.58590308370044053</v>
      </c>
      <c r="C6" s="10">
        <v>0.58590308370044053</v>
      </c>
      <c r="D6" s="10">
        <v>0.58590308370044053</v>
      </c>
    </row>
    <row r="7" spans="1:4" ht="22.25" customHeight="1">
      <c r="A7" s="9">
        <v>44957</v>
      </c>
      <c r="B7" s="10">
        <v>1.3568281938325992</v>
      </c>
      <c r="C7" s="10">
        <v>1.3568281938325992</v>
      </c>
      <c r="D7" s="10">
        <v>1.3568281938325992</v>
      </c>
    </row>
    <row r="8" spans="1:4" ht="22.25" customHeight="1">
      <c r="A8" s="9">
        <v>44985</v>
      </c>
      <c r="B8" s="10">
        <v>2.2026431718061676</v>
      </c>
      <c r="C8" s="10">
        <v>2.2026431718061676</v>
      </c>
      <c r="D8" s="10">
        <v>2.2026431718061676</v>
      </c>
    </row>
    <row r="9" spans="1:4" ht="22.25" customHeight="1">
      <c r="A9" s="9">
        <v>45016</v>
      </c>
      <c r="B9" s="10">
        <v>3.5242290748898677</v>
      </c>
      <c r="C9" s="10">
        <v>3.5242290748898677</v>
      </c>
      <c r="D9" s="10">
        <v>3.5242290748898677</v>
      </c>
    </row>
    <row r="10" spans="1:4" ht="22.25" customHeight="1">
      <c r="A10" s="9">
        <v>45046</v>
      </c>
      <c r="B10" s="10">
        <v>3.9647577092511015</v>
      </c>
      <c r="C10" s="10">
        <v>3.9647577092511015</v>
      </c>
      <c r="D10" s="10">
        <v>3.9647577092511015</v>
      </c>
    </row>
    <row r="11" spans="1:4" ht="22.25" customHeight="1">
      <c r="A11" s="9">
        <v>45077</v>
      </c>
      <c r="B11" s="10">
        <v>3.9647577092511015</v>
      </c>
      <c r="C11" s="10">
        <v>3.9647577092511015</v>
      </c>
      <c r="D11" s="10">
        <v>3.9647577092511015</v>
      </c>
    </row>
    <row r="12" spans="1:4" ht="22.25" customHeight="1">
      <c r="A12" s="9">
        <v>45107</v>
      </c>
      <c r="B12" s="10">
        <v>3.5242290748898677</v>
      </c>
      <c r="C12" s="10">
        <v>3.5242290748898677</v>
      </c>
      <c r="D12" s="10">
        <v>3.5242290748898677</v>
      </c>
    </row>
    <row r="13" spans="1:4" ht="22.25" customHeight="1">
      <c r="A13" s="9">
        <v>45138</v>
      </c>
      <c r="B13" s="10">
        <v>3.303964757709251</v>
      </c>
      <c r="C13" s="10">
        <v>3.303964757709251</v>
      </c>
      <c r="D13" s="10">
        <v>3.303964757709251</v>
      </c>
    </row>
    <row r="14" spans="1:4" ht="22.25" customHeight="1">
      <c r="A14" s="9">
        <v>45169</v>
      </c>
      <c r="B14" s="10">
        <v>3.0837004405286343</v>
      </c>
      <c r="C14" s="10">
        <v>3.0837004405286343</v>
      </c>
      <c r="D14" s="10">
        <v>3.0837004405286343</v>
      </c>
    </row>
    <row r="15" spans="1:4" ht="22.25" customHeight="1">
      <c r="A15" s="9">
        <v>45199</v>
      </c>
      <c r="B15" s="10">
        <v>3.303964757709251</v>
      </c>
      <c r="C15" s="10">
        <v>3.303964757709251</v>
      </c>
      <c r="D15" s="10">
        <v>3.303964757709251</v>
      </c>
    </row>
    <row r="16" spans="1:4" ht="22.25" customHeight="1">
      <c r="A16" s="9">
        <v>45230</v>
      </c>
      <c r="B16" s="10">
        <v>3.7444933920704848</v>
      </c>
      <c r="C16" s="10">
        <v>3.7444933920704848</v>
      </c>
      <c r="D16" s="10">
        <v>3.7444933920704848</v>
      </c>
    </row>
    <row r="17" spans="1:4" ht="22.25" customHeight="1">
      <c r="A17" s="9">
        <v>45260</v>
      </c>
      <c r="B17" s="10">
        <v>3.7444933920704848</v>
      </c>
      <c r="C17" s="10">
        <v>3.7444933920704848</v>
      </c>
      <c r="D17" s="10">
        <v>3.7444933920704848</v>
      </c>
    </row>
    <row r="18" spans="1:4" ht="22.25" customHeight="1">
      <c r="A18" s="9">
        <v>45291</v>
      </c>
      <c r="B18" s="10">
        <v>3.5242290748898677</v>
      </c>
      <c r="C18" s="10">
        <v>3.5242290748898677</v>
      </c>
      <c r="D18" s="10">
        <v>3.5242290748898677</v>
      </c>
    </row>
    <row r="19" spans="1:4" ht="22.25" customHeight="1">
      <c r="A19" s="9">
        <v>45322</v>
      </c>
      <c r="B19" s="10">
        <v>3.6122026431718068</v>
      </c>
      <c r="C19" s="10">
        <v>3.6122026431718068</v>
      </c>
      <c r="D19" s="10">
        <v>3.6122026431718068</v>
      </c>
    </row>
    <row r="20" spans="1:4" ht="22.25" customHeight="1">
      <c r="A20" s="9">
        <v>45351</v>
      </c>
      <c r="B20" s="10">
        <v>3.6821806167400886</v>
      </c>
      <c r="C20" s="10">
        <v>3.6821806167400886</v>
      </c>
      <c r="D20" s="10">
        <v>3.6821806167400886</v>
      </c>
    </row>
    <row r="21" spans="1:4" ht="22.25" customHeight="1">
      <c r="A21" s="9">
        <v>45382</v>
      </c>
      <c r="B21" s="10">
        <v>3.9796255506607929</v>
      </c>
      <c r="C21" s="10">
        <v>3.9796255506607929</v>
      </c>
      <c r="D21" s="10">
        <v>3.9796255506607929</v>
      </c>
    </row>
    <row r="22" spans="1:4" ht="22.25" customHeight="1">
      <c r="A22" s="9">
        <v>45412</v>
      </c>
      <c r="B22" s="10">
        <v>4.0598678414096918</v>
      </c>
      <c r="C22" s="10">
        <v>4.0598678414096918</v>
      </c>
      <c r="D22" s="10">
        <v>4.0598678414096918</v>
      </c>
    </row>
    <row r="23" spans="1:4" ht="22.25" customHeight="1">
      <c r="A23" s="9">
        <v>45443</v>
      </c>
      <c r="B23" s="10">
        <v>5.5045154185022032</v>
      </c>
      <c r="C23" s="10">
        <v>5.5045154185022032</v>
      </c>
      <c r="D23" s="10">
        <v>5.5045154185022032</v>
      </c>
    </row>
    <row r="24" spans="1:4" ht="22.25" customHeight="1">
      <c r="A24" s="9">
        <v>45473</v>
      </c>
      <c r="B24" s="10">
        <v>6.2964537444933919</v>
      </c>
      <c r="C24" s="10">
        <v>6.2964537444933919</v>
      </c>
      <c r="D24" s="10">
        <v>6.2964537444933919</v>
      </c>
    </row>
    <row r="25" spans="1:4" ht="22.25" customHeight="1">
      <c r="A25" s="9">
        <v>45504</v>
      </c>
      <c r="B25" s="10">
        <v>5.3634361233480181</v>
      </c>
      <c r="C25" s="10">
        <v>5.3634361233480181</v>
      </c>
      <c r="D25" s="10">
        <v>5.3634361233480181</v>
      </c>
    </row>
    <row r="26" spans="1:4" ht="22.25" customHeight="1">
      <c r="A26" s="9">
        <v>45535</v>
      </c>
      <c r="B26" s="10">
        <v>6.5934717000000003</v>
      </c>
      <c r="C26" s="10">
        <v>6.5934717000000003</v>
      </c>
      <c r="D26" s="10">
        <v>6.5934717000000003</v>
      </c>
    </row>
    <row r="27" spans="1:4" ht="22.25" customHeight="1">
      <c r="A27" s="9">
        <v>45565</v>
      </c>
      <c r="B27" s="10">
        <v>7.4008708999999984</v>
      </c>
      <c r="C27" s="10">
        <v>7.4008708999999984</v>
      </c>
      <c r="D27" s="10">
        <v>7.4008708999999984</v>
      </c>
    </row>
    <row r="28" spans="1:4" ht="22.25" customHeight="1">
      <c r="A28" s="9">
        <v>45596</v>
      </c>
      <c r="B28" s="10">
        <v>8.2043440999999984</v>
      </c>
      <c r="C28" s="10">
        <v>8.2043440999999984</v>
      </c>
      <c r="D28" s="10">
        <v>8.2043440999999984</v>
      </c>
    </row>
    <row r="29" spans="1:4" ht="22.25" customHeight="1">
      <c r="A29" s="9">
        <v>45626</v>
      </c>
      <c r="B29" s="10">
        <v>8.3505410999999956</v>
      </c>
      <c r="C29" s="10">
        <v>8.3505410999999956</v>
      </c>
      <c r="D29" s="10">
        <v>8.3505410999999956</v>
      </c>
    </row>
    <row r="30" spans="1:4" ht="22.25" customHeight="1">
      <c r="A30" s="9">
        <v>45657</v>
      </c>
      <c r="B30" s="10">
        <v>8.1248236999999985</v>
      </c>
      <c r="C30" s="10">
        <v>8.1248236999999985</v>
      </c>
      <c r="D30" s="10">
        <v>8.1248236999999985</v>
      </c>
    </row>
    <row r="31" spans="1:4" ht="22.25" customHeight="1">
      <c r="A31" s="9">
        <v>45688</v>
      </c>
      <c r="B31" s="10">
        <v>8.517013900000002</v>
      </c>
      <c r="C31" s="10">
        <v>8.517013900000002</v>
      </c>
      <c r="D31" s="10">
        <v>8.517013900000002</v>
      </c>
    </row>
    <row r="32" spans="1:4" ht="22.25" customHeight="1">
      <c r="A32" s="9">
        <v>45716</v>
      </c>
      <c r="B32" s="10">
        <v>8.9173556999999999</v>
      </c>
      <c r="C32" s="10">
        <v>8.9173556999999999</v>
      </c>
      <c r="D32" s="10">
        <v>8.9173556999999999</v>
      </c>
    </row>
    <row r="33" spans="1:4" ht="22.25" customHeight="1">
      <c r="A33" s="9">
        <v>45747</v>
      </c>
      <c r="B33" s="10">
        <v>10.2054391</v>
      </c>
      <c r="C33" s="10">
        <v>10.2054391</v>
      </c>
      <c r="D33" s="10">
        <v>10.2054391</v>
      </c>
    </row>
    <row r="34" spans="1:4" ht="22.25" customHeight="1">
      <c r="A34" s="9">
        <v>45777</v>
      </c>
      <c r="B34" s="10">
        <v>10.897376699999997</v>
      </c>
      <c r="C34" s="10">
        <v>10.897376699999997</v>
      </c>
      <c r="D34" s="10">
        <v>10.897376699999997</v>
      </c>
    </row>
    <row r="35" spans="1:4" ht="22.25" customHeight="1">
      <c r="A35" s="9">
        <v>45808</v>
      </c>
      <c r="B35" s="10">
        <v>11.501684499999994</v>
      </c>
      <c r="C35" s="10">
        <v>11.501684499999994</v>
      </c>
      <c r="D35" s="10">
        <v>11.501684499999994</v>
      </c>
    </row>
    <row r="36" spans="1:4" ht="22.25" customHeight="1">
      <c r="A36" s="9">
        <v>45838</v>
      </c>
      <c r="B36" s="10">
        <v>11.249982700000006</v>
      </c>
      <c r="C36" s="10">
        <v>11.249982700000006</v>
      </c>
      <c r="D36" s="10">
        <v>11.249982700000006</v>
      </c>
    </row>
    <row r="37" spans="1:4" ht="22.25" customHeight="1">
      <c r="A37" s="9">
        <v>45869</v>
      </c>
      <c r="B37" s="10">
        <v>11.740527599999998</v>
      </c>
      <c r="C37" s="10">
        <v>11.740527599999998</v>
      </c>
      <c r="D37" s="10">
        <v>11.740527599999998</v>
      </c>
    </row>
    <row r="38" spans="1:4" ht="22.25" customHeight="1">
      <c r="A38" s="9">
        <v>45900</v>
      </c>
      <c r="B38" s="10">
        <v>11.874630000000009</v>
      </c>
      <c r="C38" s="10">
        <v>11.874630000000009</v>
      </c>
      <c r="D38" s="10">
        <v>11.874630000000009</v>
      </c>
    </row>
    <row r="39" spans="1:4" ht="22.25" customHeight="1">
      <c r="A39" s="9">
        <v>45930</v>
      </c>
      <c r="B39" s="10">
        <v>12.365025000000003</v>
      </c>
      <c r="C39" s="10">
        <v>12.365025000000003</v>
      </c>
      <c r="D39" s="10">
        <v>12.365025000000003</v>
      </c>
    </row>
    <row r="40" spans="1:4" ht="22.25" customHeight="1">
      <c r="A40" s="9">
        <v>45961</v>
      </c>
      <c r="B40" s="10">
        <v>13.074178700000001</v>
      </c>
      <c r="C40" s="10">
        <v>13.074178700000001</v>
      </c>
      <c r="D40" s="10">
        <v>13.074178700000001</v>
      </c>
    </row>
    <row r="41" spans="1:4" ht="22.25" customHeight="1">
      <c r="A41" s="9">
        <v>45991</v>
      </c>
      <c r="B41" s="10">
        <v>12.825400300000005</v>
      </c>
      <c r="C41" s="10">
        <v>12.825400300000005</v>
      </c>
      <c r="D41" s="10">
        <v>12.825400300000005</v>
      </c>
    </row>
    <row r="42" spans="1:4" ht="22.25" customHeight="1">
      <c r="A42" s="9">
        <v>46022</v>
      </c>
      <c r="B42" s="10">
        <v>12.830106300000006</v>
      </c>
      <c r="C42" s="10">
        <v>12.830106300000006</v>
      </c>
      <c r="D42" s="10">
        <v>12.830106300000006</v>
      </c>
    </row>
    <row r="43" spans="1:4" ht="22.25" customHeight="1">
      <c r="A43" s="9">
        <v>46053</v>
      </c>
      <c r="B43" s="10">
        <v>13.813220000000001</v>
      </c>
      <c r="C43" s="10">
        <v>13.9836861</v>
      </c>
      <c r="D43" s="10">
        <v>14.154152199999999</v>
      </c>
    </row>
    <row r="44" spans="1:4" ht="22.25" customHeight="1">
      <c r="A44" s="9">
        <v>46081</v>
      </c>
      <c r="B44" s="10">
        <v>14.259279599999999</v>
      </c>
      <c r="C44" s="10">
        <v>14.532496900000002</v>
      </c>
      <c r="D44" s="10">
        <v>14.805714200000001</v>
      </c>
    </row>
    <row r="45" spans="1:4" ht="22.25" customHeight="1">
      <c r="A45" s="9">
        <v>46112</v>
      </c>
      <c r="B45" s="10">
        <v>15.483808099999999</v>
      </c>
      <c r="C45" s="10">
        <v>16.044049100000002</v>
      </c>
      <c r="D45" s="10">
        <v>16.6042901</v>
      </c>
    </row>
    <row r="46" spans="1:4" ht="22.25" customHeight="1">
      <c r="A46" s="9">
        <v>46142</v>
      </c>
      <c r="B46" s="10">
        <v>15.889756299999998</v>
      </c>
      <c r="C46" s="10">
        <v>16.579027199999999</v>
      </c>
      <c r="D46" s="10">
        <v>17.268298100000003</v>
      </c>
    </row>
    <row r="47" spans="1:4" ht="22.25" customHeight="1">
      <c r="A47" s="9">
        <v>46173</v>
      </c>
      <c r="B47" s="10">
        <v>16.341861999999999</v>
      </c>
      <c r="C47" s="10">
        <v>17.156545399999999</v>
      </c>
      <c r="D47" s="10">
        <v>17.971228799999999</v>
      </c>
    </row>
    <row r="48" spans="1:4" ht="22.25" customHeight="1">
      <c r="A48" s="9">
        <v>46203</v>
      </c>
      <c r="B48" s="10">
        <v>16.248353000000002</v>
      </c>
      <c r="C48" s="10">
        <v>17.063226100000001</v>
      </c>
      <c r="D48" s="10">
        <v>17.8780991</v>
      </c>
    </row>
    <row r="49" spans="1:4" ht="22.25" customHeight="1">
      <c r="A49" s="9">
        <v>46234</v>
      </c>
      <c r="B49" s="10">
        <v>16.459455500000001</v>
      </c>
      <c r="C49" s="10">
        <v>17.307108400000001</v>
      </c>
      <c r="D49" s="10">
        <v>18.154761199999999</v>
      </c>
    </row>
    <row r="50" spans="1:4" ht="22.25" customHeight="1">
      <c r="A50" s="9">
        <v>46265</v>
      </c>
      <c r="B50" s="10">
        <v>16.732752400000003</v>
      </c>
      <c r="C50" s="10">
        <v>17.6607433</v>
      </c>
      <c r="D50" s="10">
        <v>18.588734199999998</v>
      </c>
    </row>
    <row r="51" spans="1:4" ht="22.25" customHeight="1">
      <c r="A51" s="9">
        <v>46295</v>
      </c>
      <c r="B51" s="10">
        <v>17.347113400000001</v>
      </c>
      <c r="C51" s="10">
        <v>18.417129299999999</v>
      </c>
      <c r="D51" s="10">
        <v>19.487145099999999</v>
      </c>
    </row>
    <row r="52" spans="1:4" ht="22.25" customHeight="1">
      <c r="A52" s="9">
        <v>46326</v>
      </c>
      <c r="B52" s="10">
        <v>18.111805799999999</v>
      </c>
      <c r="C52" s="10">
        <v>19.358188899999998</v>
      </c>
      <c r="D52" s="10">
        <v>20.604572099999999</v>
      </c>
    </row>
    <row r="53" spans="1:4" ht="22.25" customHeight="1">
      <c r="A53" s="9">
        <v>46356</v>
      </c>
      <c r="B53" s="10">
        <v>17.810321399999999</v>
      </c>
      <c r="C53" s="10">
        <v>18.987098400000001</v>
      </c>
      <c r="D53" s="10">
        <v>20.163875400000002</v>
      </c>
    </row>
    <row r="54" spans="1:4" ht="22.25" customHeight="1">
      <c r="A54" s="9">
        <v>46387</v>
      </c>
      <c r="B54" s="10">
        <v>18.024142599999998</v>
      </c>
      <c r="C54" s="10">
        <v>19.222783499999998</v>
      </c>
      <c r="D54" s="10">
        <v>20.421424300000002</v>
      </c>
    </row>
    <row r="55" spans="1:4" ht="22.25" customHeight="1">
      <c r="A55" s="9">
        <v>46418</v>
      </c>
      <c r="B55" s="10">
        <v>18.634435400000001</v>
      </c>
      <c r="C55" s="10">
        <v>19.963146699999999</v>
      </c>
      <c r="D55" s="10">
        <v>21.2918579</v>
      </c>
    </row>
    <row r="56" spans="1:4" ht="22.25" customHeight="1">
      <c r="A56" s="9">
        <v>46446</v>
      </c>
      <c r="B56" s="10">
        <v>19.112367499999998</v>
      </c>
      <c r="C56" s="10">
        <v>20.566527499999999</v>
      </c>
      <c r="D56" s="10">
        <v>22.020687599999999</v>
      </c>
    </row>
    <row r="57" spans="1:4" ht="22.25" customHeight="1">
      <c r="A57" s="9">
        <v>46477</v>
      </c>
      <c r="B57" s="10">
        <v>20.518655000000003</v>
      </c>
      <c r="C57" s="10">
        <v>22.298848899999999</v>
      </c>
      <c r="D57" s="10">
        <v>24.079042699999999</v>
      </c>
    </row>
    <row r="58" spans="1:4" ht="22.25" customHeight="1">
      <c r="A58" s="9">
        <v>46507</v>
      </c>
      <c r="B58" s="10">
        <v>21.112076300000002</v>
      </c>
      <c r="C58" s="10">
        <v>23.044640899999997</v>
      </c>
      <c r="D58" s="10">
        <v>24.977205399999999</v>
      </c>
    </row>
    <row r="59" spans="1:4" ht="22.25" customHeight="1">
      <c r="A59" s="9">
        <v>46538</v>
      </c>
      <c r="B59" s="10">
        <v>21.499223000000001</v>
      </c>
      <c r="C59" s="10">
        <v>23.480276199999999</v>
      </c>
      <c r="D59" s="10">
        <v>25.461329499999998</v>
      </c>
    </row>
    <row r="60" spans="1:4" ht="22.25" customHeight="1">
      <c r="A60" s="9">
        <v>46568</v>
      </c>
      <c r="B60" s="10">
        <v>21.5068421</v>
      </c>
      <c r="C60" s="10">
        <v>23.4539616</v>
      </c>
      <c r="D60" s="10">
        <v>25.4010812</v>
      </c>
    </row>
    <row r="61" spans="1:4" ht="22.25" customHeight="1">
      <c r="A61" s="9">
        <v>46599</v>
      </c>
      <c r="B61" s="10">
        <v>22.144624</v>
      </c>
      <c r="C61" s="10">
        <v>24.220998000000002</v>
      </c>
      <c r="D61" s="10">
        <v>26.297372000000003</v>
      </c>
    </row>
    <row r="62" spans="1:4" ht="22.25" customHeight="1">
      <c r="A62" s="9">
        <v>46630</v>
      </c>
      <c r="B62" s="10">
        <v>22.300534599999999</v>
      </c>
      <c r="C62" s="10">
        <v>24.4158367</v>
      </c>
      <c r="D62" s="10">
        <v>26.531138700000003</v>
      </c>
    </row>
    <row r="63" spans="1:4" ht="22.25" customHeight="1">
      <c r="A63" s="9">
        <v>46660</v>
      </c>
      <c r="B63" s="10">
        <v>22.8830344</v>
      </c>
      <c r="C63" s="10">
        <v>25.151534000000002</v>
      </c>
      <c r="D63" s="10">
        <v>27.420033499999999</v>
      </c>
    </row>
    <row r="64" spans="1:4" ht="22.25" customHeight="1">
      <c r="A64" s="9">
        <v>46691</v>
      </c>
      <c r="B64" s="10">
        <v>23.6666177</v>
      </c>
      <c r="C64" s="10">
        <v>26.122122300000001</v>
      </c>
      <c r="D64" s="10">
        <v>28.577627</v>
      </c>
    </row>
    <row r="65" spans="1:4" ht="22.25" customHeight="1">
      <c r="A65" s="9">
        <v>46721</v>
      </c>
      <c r="B65" s="10">
        <v>23.437467300000002</v>
      </c>
      <c r="C65" s="10">
        <v>25.8055752</v>
      </c>
      <c r="D65" s="10">
        <v>28.173683099999998</v>
      </c>
    </row>
    <row r="66" spans="1:4" ht="22.25" customHeight="1">
      <c r="A66" s="9">
        <v>46752</v>
      </c>
      <c r="B66" s="10">
        <v>23.680781400000001</v>
      </c>
      <c r="C66" s="10">
        <v>26.077444500000002</v>
      </c>
      <c r="D66" s="10">
        <v>28.474107600000004</v>
      </c>
    </row>
    <row r="67" spans="1:4" ht="22.25" customHeight="1">
      <c r="A67" s="9">
        <v>46783</v>
      </c>
      <c r="B67" s="10">
        <v>24.188536500000001</v>
      </c>
      <c r="C67" s="10">
        <v>26.6752766</v>
      </c>
      <c r="D67" s="10">
        <v>29.162016699999999</v>
      </c>
    </row>
    <row r="68" spans="1:4" ht="22.25" customHeight="1">
      <c r="A68" s="9">
        <v>46812</v>
      </c>
      <c r="B68" s="10">
        <v>24.901416900000001</v>
      </c>
      <c r="C68" s="10">
        <v>27.588768099999999</v>
      </c>
      <c r="D68" s="10">
        <v>30.2761192</v>
      </c>
    </row>
    <row r="69" spans="1:4" ht="22.25" customHeight="1">
      <c r="A69" s="9">
        <v>46843</v>
      </c>
      <c r="B69" s="10">
        <v>25.8580936</v>
      </c>
      <c r="C69" s="10">
        <v>28.753810499999997</v>
      </c>
      <c r="D69" s="10">
        <v>31.6495274</v>
      </c>
    </row>
    <row r="70" spans="1:4" ht="22.25" customHeight="1">
      <c r="A70" s="9">
        <v>46873</v>
      </c>
      <c r="B70" s="10">
        <v>26.178373399999998</v>
      </c>
      <c r="C70" s="10">
        <v>29.150777900000001</v>
      </c>
      <c r="D70" s="10">
        <v>32.123182300000003</v>
      </c>
    </row>
    <row r="71" spans="1:4" ht="22.25" customHeight="1">
      <c r="A71" s="9">
        <v>46904</v>
      </c>
      <c r="B71" s="10">
        <v>27.4175471</v>
      </c>
      <c r="C71" s="10">
        <v>30.6671467</v>
      </c>
      <c r="D71" s="10">
        <v>33.916746400000001</v>
      </c>
    </row>
    <row r="72" spans="1:4" ht="22.25" customHeight="1">
      <c r="A72" s="9">
        <v>46934</v>
      </c>
      <c r="B72" s="10">
        <v>27.701147900000002</v>
      </c>
      <c r="C72" s="10">
        <v>31.026080999999998</v>
      </c>
      <c r="D72" s="10">
        <v>34.3510141</v>
      </c>
    </row>
    <row r="73" spans="1:4" ht="22.25" customHeight="1">
      <c r="A73" s="9">
        <v>46965</v>
      </c>
      <c r="B73" s="10">
        <v>27.1061421</v>
      </c>
      <c r="C73" s="10">
        <v>30.271921300000002</v>
      </c>
      <c r="D73" s="10">
        <v>33.437700599999999</v>
      </c>
    </row>
    <row r="74" spans="1:4" ht="22.25" customHeight="1">
      <c r="A74" s="9">
        <v>46996</v>
      </c>
      <c r="B74" s="10">
        <v>27.847468099999997</v>
      </c>
      <c r="C74" s="10">
        <v>31.173658400000001</v>
      </c>
      <c r="D74" s="10">
        <v>34.4998486</v>
      </c>
    </row>
    <row r="75" spans="1:4" ht="22.25" customHeight="1">
      <c r="A75" s="9">
        <v>47026</v>
      </c>
      <c r="B75" s="10">
        <v>28.293048299999999</v>
      </c>
      <c r="C75" s="10">
        <v>31.7395286</v>
      </c>
      <c r="D75" s="10">
        <v>35.186008800000003</v>
      </c>
    </row>
    <row r="76" spans="1:4" ht="22.25" customHeight="1">
      <c r="A76" s="9">
        <v>47057</v>
      </c>
      <c r="B76" s="10">
        <v>28.859335900000001</v>
      </c>
      <c r="C76" s="10">
        <v>32.459577199999998</v>
      </c>
      <c r="D76" s="10">
        <v>36.059818499999999</v>
      </c>
    </row>
    <row r="77" spans="1:4" ht="22.25" customHeight="1">
      <c r="A77" s="9">
        <v>47087</v>
      </c>
      <c r="B77" s="10">
        <v>28.642039099999998</v>
      </c>
      <c r="C77" s="10">
        <v>32.2076007</v>
      </c>
      <c r="D77" s="10">
        <v>35.773162400000004</v>
      </c>
    </row>
    <row r="78" spans="1:4" ht="22.25" customHeight="1">
      <c r="A78" s="9">
        <v>47118</v>
      </c>
      <c r="B78" s="10">
        <v>28.681220500000002</v>
      </c>
      <c r="C78" s="10">
        <v>32.254626899999998</v>
      </c>
      <c r="D78" s="10">
        <v>35.828033300000001</v>
      </c>
    </row>
    <row r="79" spans="1:4" ht="22.25" customHeight="1">
      <c r="A79" s="9">
        <v>47149</v>
      </c>
      <c r="B79" s="10">
        <v>29.610694799999997</v>
      </c>
      <c r="C79" s="10">
        <v>33.395325</v>
      </c>
      <c r="D79" s="10">
        <v>37.179955200000002</v>
      </c>
    </row>
    <row r="80" spans="1:4" ht="22.25" customHeight="1">
      <c r="A80" s="9">
        <v>47177</v>
      </c>
      <c r="B80" s="10">
        <v>29.984343299999999</v>
      </c>
      <c r="C80" s="10">
        <v>33.8504085</v>
      </c>
      <c r="D80" s="10">
        <v>37.7164736</v>
      </c>
    </row>
    <row r="81" spans="1:4" ht="22.25" customHeight="1">
      <c r="A81" s="9">
        <v>47208</v>
      </c>
      <c r="B81" s="10">
        <v>31.021385099999996</v>
      </c>
      <c r="C81" s="10">
        <v>35.135232500000001</v>
      </c>
      <c r="D81" s="10">
        <v>39.249079999999999</v>
      </c>
    </row>
    <row r="82" spans="1:4" ht="22.25" customHeight="1">
      <c r="A82" s="9">
        <v>47238</v>
      </c>
      <c r="B82" s="10">
        <v>31.479464700000001</v>
      </c>
      <c r="C82" s="10">
        <v>35.697108499999999</v>
      </c>
      <c r="D82" s="10">
        <v>39.914752199999995</v>
      </c>
    </row>
    <row r="83" spans="1:4" ht="22.25" customHeight="1">
      <c r="A83" s="9">
        <v>47269</v>
      </c>
      <c r="B83" s="10">
        <v>32.351670900000002</v>
      </c>
      <c r="C83" s="10">
        <v>36.770993199999999</v>
      </c>
      <c r="D83" s="10">
        <v>41.190315500000004</v>
      </c>
    </row>
    <row r="84" spans="1:4" ht="22.25" customHeight="1">
      <c r="A84" s="9">
        <v>47299</v>
      </c>
      <c r="B84" s="10">
        <v>32.462701700000004</v>
      </c>
      <c r="C84" s="10">
        <v>36.918650100000001</v>
      </c>
      <c r="D84" s="10">
        <v>41.374598500000005</v>
      </c>
    </row>
    <row r="85" spans="1:4" ht="22.25" customHeight="1">
      <c r="A85" s="9">
        <v>47330</v>
      </c>
      <c r="B85" s="10">
        <v>32.083028900000002</v>
      </c>
      <c r="C85" s="10">
        <v>36.475590699999998</v>
      </c>
      <c r="D85" s="10">
        <v>40.868152500000001</v>
      </c>
    </row>
    <row r="86" spans="1:4" ht="22.25" customHeight="1">
      <c r="A86" s="9">
        <v>47361</v>
      </c>
      <c r="B86" s="10">
        <v>32.703834899999997</v>
      </c>
      <c r="C86" s="10">
        <v>37.217234000000005</v>
      </c>
      <c r="D86" s="10">
        <v>41.730632999999997</v>
      </c>
    </row>
    <row r="87" spans="1:4" ht="22.25" customHeight="1">
      <c r="A87" s="9">
        <v>47391</v>
      </c>
      <c r="B87" s="10">
        <v>33.404412399999998</v>
      </c>
      <c r="C87" s="10">
        <v>38.048864200000004</v>
      </c>
      <c r="D87" s="10">
        <v>42.693315999999996</v>
      </c>
    </row>
    <row r="88" spans="1:4" ht="22.25" customHeight="1">
      <c r="A88" s="9">
        <v>47422</v>
      </c>
      <c r="B88" s="10">
        <v>34.0524153</v>
      </c>
      <c r="C88" s="10">
        <v>38.862150100000001</v>
      </c>
      <c r="D88" s="10">
        <v>43.671884800000001</v>
      </c>
    </row>
    <row r="89" spans="1:4" ht="22.25" customHeight="1">
      <c r="A89" s="9">
        <v>47452</v>
      </c>
      <c r="B89" s="10">
        <v>33.833694899999998</v>
      </c>
      <c r="C89" s="10">
        <v>38.591402500000001</v>
      </c>
      <c r="D89" s="10">
        <v>43.349110000000003</v>
      </c>
    </row>
    <row r="90" spans="1:4" ht="22.25" customHeight="1">
      <c r="A90" s="9">
        <v>47483</v>
      </c>
      <c r="B90" s="10">
        <v>34.105998499999998</v>
      </c>
      <c r="C90" s="10">
        <v>38.878669000000002</v>
      </c>
      <c r="D90" s="10">
        <v>43.651339499999999</v>
      </c>
    </row>
    <row r="91" spans="1:4" ht="22.25" customHeight="1">
      <c r="A91" s="9">
        <v>47514</v>
      </c>
      <c r="B91" s="10">
        <v>34.611088699999996</v>
      </c>
      <c r="C91" s="10">
        <v>39.554225299999999</v>
      </c>
      <c r="D91" s="10">
        <v>44.497361999999995</v>
      </c>
    </row>
    <row r="92" spans="1:4" ht="22.25" customHeight="1">
      <c r="A92" s="9">
        <v>47542</v>
      </c>
      <c r="B92" s="10">
        <v>35.124923299999999</v>
      </c>
      <c r="C92" s="10">
        <v>40.170811200000003</v>
      </c>
      <c r="D92" s="10">
        <v>45.216698999999998</v>
      </c>
    </row>
    <row r="93" spans="1:4" ht="22.25" customHeight="1">
      <c r="A93" s="9">
        <v>47573</v>
      </c>
      <c r="B93" s="10">
        <v>36.506041699999997</v>
      </c>
      <c r="C93" s="10">
        <v>41.8389533</v>
      </c>
      <c r="D93" s="10">
        <v>47.171864799999994</v>
      </c>
    </row>
    <row r="94" spans="1:4" ht="22.25" customHeight="1">
      <c r="A94" s="9">
        <v>47603</v>
      </c>
      <c r="B94" s="10">
        <v>37.0697884</v>
      </c>
      <c r="C94" s="10">
        <v>42.531729800000001</v>
      </c>
      <c r="D94" s="10">
        <v>47.993671200000001</v>
      </c>
    </row>
    <row r="95" spans="1:4" ht="22.25" customHeight="1">
      <c r="A95" s="9">
        <v>47634</v>
      </c>
      <c r="B95" s="10">
        <v>37.582725499999995</v>
      </c>
      <c r="C95" s="10">
        <v>43.170079399999999</v>
      </c>
      <c r="D95" s="10">
        <v>48.757433300000002</v>
      </c>
    </row>
    <row r="96" spans="1:4" ht="22.25" customHeight="1">
      <c r="A96" s="9">
        <v>47664</v>
      </c>
      <c r="B96" s="10">
        <v>37.616521200000001</v>
      </c>
      <c r="C96" s="10">
        <v>43.204064799999998</v>
      </c>
      <c r="D96" s="10">
        <v>48.791608400000001</v>
      </c>
    </row>
    <row r="97" spans="1:4" ht="22.25" customHeight="1">
      <c r="A97" s="9">
        <v>47695</v>
      </c>
      <c r="B97" s="10">
        <v>37.807026399999998</v>
      </c>
      <c r="C97" s="10">
        <v>43.427349700000001</v>
      </c>
      <c r="D97" s="10">
        <v>49.047673099999997</v>
      </c>
    </row>
    <row r="98" spans="1:4" ht="22.25" customHeight="1">
      <c r="A98" s="9">
        <v>47726</v>
      </c>
      <c r="B98" s="10">
        <v>38.344581399999996</v>
      </c>
      <c r="C98" s="10">
        <v>44.045242799999997</v>
      </c>
      <c r="D98" s="10">
        <v>49.745904199999998</v>
      </c>
    </row>
    <row r="99" spans="1:4" ht="22.25" customHeight="1">
      <c r="A99" s="9">
        <v>47756</v>
      </c>
      <c r="B99" s="10">
        <v>38.942149100000002</v>
      </c>
      <c r="C99" s="10">
        <v>44.7848355</v>
      </c>
      <c r="D99" s="10">
        <v>50.627521799999997</v>
      </c>
    </row>
    <row r="100" spans="1:4" ht="22.25" customHeight="1">
      <c r="A100" s="9">
        <v>47787</v>
      </c>
      <c r="B100" s="10">
        <v>39.708774599999998</v>
      </c>
      <c r="C100" s="10">
        <v>45.727828299999999</v>
      </c>
      <c r="D100" s="10">
        <v>51.746881900000005</v>
      </c>
    </row>
    <row r="101" spans="1:4" ht="22.25" customHeight="1">
      <c r="A101" s="9">
        <v>47817</v>
      </c>
      <c r="B101" s="10">
        <v>39.381818099999997</v>
      </c>
      <c r="C101" s="10">
        <v>45.331265600000002</v>
      </c>
      <c r="D101" s="10">
        <v>51.280713200000001</v>
      </c>
    </row>
    <row r="102" spans="1:4" ht="22.25" customHeight="1">
      <c r="A102" s="9">
        <v>47848</v>
      </c>
      <c r="B102" s="10">
        <v>39.508887000000001</v>
      </c>
      <c r="C102" s="10">
        <v>45.480198299999998</v>
      </c>
      <c r="D102" s="10">
        <v>51.451509699999995</v>
      </c>
    </row>
    <row r="103" spans="1:4" ht="22.25" customHeight="1">
      <c r="A103" s="9">
        <v>47879</v>
      </c>
      <c r="B103" s="10">
        <v>39.945810100000003</v>
      </c>
      <c r="C103" s="10">
        <v>46.020462999999999</v>
      </c>
      <c r="D103" s="10">
        <v>52.095115899999996</v>
      </c>
    </row>
    <row r="104" spans="1:4" ht="22.25" customHeight="1">
      <c r="A104" s="9">
        <v>47907</v>
      </c>
      <c r="B104" s="10">
        <v>40.337891999999997</v>
      </c>
      <c r="C104" s="10">
        <v>46.521064899999999</v>
      </c>
      <c r="D104" s="10">
        <v>52.704237800000001</v>
      </c>
    </row>
    <row r="105" spans="1:4" ht="22.25" customHeight="1">
      <c r="A105" s="9">
        <v>47938</v>
      </c>
      <c r="B105" s="10">
        <v>41.522910500000002</v>
      </c>
      <c r="C105" s="10">
        <v>48.005388199999999</v>
      </c>
      <c r="D105" s="10">
        <v>54.487865999999997</v>
      </c>
    </row>
    <row r="106" spans="1:4" ht="22.25" customHeight="1">
      <c r="A106" s="9">
        <v>47968</v>
      </c>
      <c r="B106" s="10">
        <v>42.109987099999998</v>
      </c>
      <c r="C106" s="10">
        <v>48.721373299999996</v>
      </c>
      <c r="D106" s="10">
        <v>55.332759599999996</v>
      </c>
    </row>
    <row r="107" spans="1:4" ht="22.25" customHeight="1">
      <c r="A107" s="9">
        <v>47999</v>
      </c>
      <c r="B107" s="10">
        <v>42.2231016</v>
      </c>
      <c r="C107" s="10">
        <v>48.856247600000003</v>
      </c>
      <c r="D107" s="10">
        <v>55.489393600000007</v>
      </c>
    </row>
    <row r="108" spans="1:4" ht="22.25" customHeight="1">
      <c r="A108" s="9">
        <v>48029</v>
      </c>
      <c r="B108" s="10">
        <v>41.944592499999999</v>
      </c>
      <c r="C108" s="10">
        <v>48.520342599999999</v>
      </c>
      <c r="D108" s="10">
        <v>55.0960927</v>
      </c>
    </row>
    <row r="109" spans="1:4" ht="22.25" customHeight="1">
      <c r="A109" s="9">
        <v>48060</v>
      </c>
      <c r="B109" s="10">
        <v>42.2962311</v>
      </c>
      <c r="C109" s="10">
        <v>48.974506699999999</v>
      </c>
      <c r="D109" s="10">
        <v>55.652782299999998</v>
      </c>
    </row>
    <row r="110" spans="1:4" ht="22.25" customHeight="1">
      <c r="A110" s="9">
        <v>48091</v>
      </c>
      <c r="B110" s="10">
        <v>42.3122379</v>
      </c>
      <c r="C110" s="10">
        <v>49.002712600000002</v>
      </c>
      <c r="D110" s="10">
        <v>55.693187399999999</v>
      </c>
    </row>
    <row r="111" spans="1:4" ht="22.25" customHeight="1">
      <c r="A111" s="9">
        <v>48121</v>
      </c>
      <c r="B111" s="10">
        <v>42.9242785</v>
      </c>
      <c r="C111" s="10">
        <v>49.744488500000003</v>
      </c>
      <c r="D111" s="10">
        <v>56.564698499999999</v>
      </c>
    </row>
    <row r="112" spans="1:4" ht="22.25" customHeight="1">
      <c r="A112" s="9">
        <v>48152</v>
      </c>
      <c r="B112" s="10">
        <v>43.717200599999998</v>
      </c>
      <c r="C112" s="10">
        <v>50.6976868</v>
      </c>
      <c r="D112" s="10">
        <v>57.678173000000001</v>
      </c>
    </row>
    <row r="113" spans="1:4" ht="22.25" customHeight="1">
      <c r="A113" s="9">
        <v>48182</v>
      </c>
      <c r="B113" s="10">
        <v>43.191169899999998</v>
      </c>
      <c r="C113" s="10">
        <v>50.060797200000003</v>
      </c>
      <c r="D113" s="10">
        <v>56.930424500000001</v>
      </c>
    </row>
    <row r="114" spans="1:4" ht="22.25" customHeight="1">
      <c r="A114" s="9">
        <v>48213</v>
      </c>
      <c r="B114" s="10">
        <v>43.222417300000004</v>
      </c>
      <c r="C114" s="10">
        <v>50.093870800000005</v>
      </c>
      <c r="D114" s="10">
        <v>56.9653244</v>
      </c>
    </row>
    <row r="115" spans="1:4" ht="22.25" customHeight="1">
      <c r="A115" s="9">
        <v>48244</v>
      </c>
      <c r="B115" s="10">
        <v>43.523089499999998</v>
      </c>
      <c r="C115" s="10">
        <v>50.457891099999998</v>
      </c>
      <c r="D115" s="10">
        <v>57.392692699999998</v>
      </c>
    </row>
    <row r="116" spans="1:4" ht="22.25" customHeight="1">
      <c r="A116" s="9">
        <v>48273</v>
      </c>
      <c r="B116" s="10">
        <v>44.408469199999999</v>
      </c>
      <c r="C116" s="10">
        <v>51.523686399999995</v>
      </c>
      <c r="D116" s="10">
        <v>58.638903500000005</v>
      </c>
    </row>
    <row r="117" spans="1:4" ht="22.25" customHeight="1">
      <c r="A117" s="9">
        <v>48304</v>
      </c>
      <c r="B117" s="10">
        <v>45.298618699999999</v>
      </c>
      <c r="C117" s="10">
        <v>52.595472700000002</v>
      </c>
      <c r="D117" s="10">
        <v>59.892326600000004</v>
      </c>
    </row>
    <row r="118" spans="1:4" ht="22.25" customHeight="1">
      <c r="A118" s="9">
        <v>48334</v>
      </c>
      <c r="B118" s="10">
        <v>45.6181859</v>
      </c>
      <c r="C118" s="10">
        <v>52.968265199999998</v>
      </c>
      <c r="D118" s="10">
        <v>60.318344500000002</v>
      </c>
    </row>
    <row r="119" spans="1:4" ht="22.25" customHeight="1">
      <c r="A119" s="9">
        <v>48365</v>
      </c>
      <c r="B119" s="10">
        <v>46.748095800000002</v>
      </c>
      <c r="C119" s="10">
        <v>54.348641399999998</v>
      </c>
      <c r="D119" s="10">
        <v>61.949186899999994</v>
      </c>
    </row>
    <row r="120" spans="1:4" ht="22.25" customHeight="1">
      <c r="A120" s="9">
        <v>48395</v>
      </c>
      <c r="B120" s="10">
        <v>47.070435600000003</v>
      </c>
      <c r="C120" s="10">
        <v>54.722852400000001</v>
      </c>
      <c r="D120" s="10">
        <v>62.375269200000005</v>
      </c>
    </row>
    <row r="121" spans="1:4" ht="22.25" customHeight="1">
      <c r="A121" s="9">
        <v>48426</v>
      </c>
      <c r="B121" s="10">
        <v>46.2562943</v>
      </c>
      <c r="C121" s="10">
        <v>53.722828400000004</v>
      </c>
      <c r="D121" s="10">
        <v>61.189362400000007</v>
      </c>
    </row>
    <row r="122" spans="1:4" ht="22.25" customHeight="1">
      <c r="A122" s="9">
        <v>48457</v>
      </c>
      <c r="B122" s="10">
        <v>46.782663100000001</v>
      </c>
      <c r="C122" s="10">
        <v>54.382879200000005</v>
      </c>
      <c r="D122" s="10">
        <v>61.983095300000002</v>
      </c>
    </row>
    <row r="123" spans="1:4" ht="22.25" customHeight="1">
      <c r="A123" s="9">
        <v>48487</v>
      </c>
      <c r="B123" s="10">
        <v>47.195503899999999</v>
      </c>
      <c r="C123" s="10">
        <v>54.892547800000003</v>
      </c>
      <c r="D123" s="10">
        <v>62.589591800000008</v>
      </c>
    </row>
    <row r="124" spans="1:4" ht="22.25" customHeight="1">
      <c r="A124" s="9">
        <v>48518</v>
      </c>
      <c r="B124" s="10">
        <v>47.755907700000002</v>
      </c>
      <c r="C124" s="10">
        <v>55.579983800000001</v>
      </c>
      <c r="D124" s="10">
        <v>63.404059800000006</v>
      </c>
    </row>
    <row r="125" spans="1:4" ht="22.25" customHeight="1">
      <c r="A125" s="9">
        <v>48548</v>
      </c>
      <c r="B125" s="10">
        <v>47.432248000000001</v>
      </c>
      <c r="C125" s="10">
        <v>55.198182099999997</v>
      </c>
      <c r="D125" s="10">
        <v>62.964116199999999</v>
      </c>
    </row>
    <row r="126" spans="1:4" ht="22.25" customHeight="1">
      <c r="A126" s="9">
        <v>48579</v>
      </c>
      <c r="B126" s="10">
        <v>47.436354899999998</v>
      </c>
      <c r="C126" s="10">
        <v>55.183404900000006</v>
      </c>
      <c r="D126" s="10">
        <v>62.930454899999994</v>
      </c>
    </row>
    <row r="127" spans="1:4" ht="22.25" customHeight="1">
      <c r="A127" s="9">
        <v>48610</v>
      </c>
      <c r="B127" s="10">
        <v>48.2740364</v>
      </c>
      <c r="C127" s="10">
        <v>56.205581299999992</v>
      </c>
      <c r="D127" s="10">
        <v>64.137126199999997</v>
      </c>
    </row>
    <row r="128" spans="1:4" ht="22.25" customHeight="1">
      <c r="A128" s="9">
        <v>48638</v>
      </c>
      <c r="B128" s="10">
        <v>48.568989800000004</v>
      </c>
      <c r="C128" s="10">
        <v>56.5650409</v>
      </c>
      <c r="D128" s="10">
        <v>64.561091899999994</v>
      </c>
    </row>
    <row r="129" spans="1:4" ht="22.25" customHeight="1">
      <c r="A129" s="9">
        <v>48669</v>
      </c>
      <c r="B129" s="10">
        <v>49.557121199999997</v>
      </c>
      <c r="C129" s="10">
        <v>57.774225700000002</v>
      </c>
      <c r="D129" s="10">
        <v>65.991330099999999</v>
      </c>
    </row>
    <row r="130" spans="1:4" ht="22.25" customHeight="1">
      <c r="A130" s="9">
        <v>48699</v>
      </c>
      <c r="B130" s="10">
        <v>49.772963300000001</v>
      </c>
      <c r="C130" s="10">
        <v>58.070401799999999</v>
      </c>
      <c r="D130" s="10">
        <v>66.367840299999997</v>
      </c>
    </row>
    <row r="131" spans="1:4" ht="22.25" customHeight="1">
      <c r="A131" s="9">
        <v>48730</v>
      </c>
      <c r="B131" s="10">
        <v>50.580549500000004</v>
      </c>
      <c r="C131" s="10">
        <v>59.052937599999993</v>
      </c>
      <c r="D131" s="10">
        <v>67.525325699999996</v>
      </c>
    </row>
    <row r="132" spans="1:4" ht="22.25" customHeight="1">
      <c r="A132" s="9">
        <v>48760</v>
      </c>
      <c r="B132" s="10">
        <v>50.449291500000001</v>
      </c>
      <c r="C132" s="10">
        <v>58.934843499999999</v>
      </c>
      <c r="D132" s="10">
        <v>67.420395499999998</v>
      </c>
    </row>
    <row r="133" spans="1:4" ht="22.25" customHeight="1">
      <c r="A133" s="9">
        <v>48791</v>
      </c>
      <c r="B133" s="10">
        <v>50.078404399999997</v>
      </c>
      <c r="C133" s="10">
        <v>58.473840800000005</v>
      </c>
      <c r="D133" s="10">
        <v>66.869277299999993</v>
      </c>
    </row>
    <row r="134" spans="1:4" ht="22.25" customHeight="1">
      <c r="A134" s="9">
        <v>48822</v>
      </c>
      <c r="B134" s="10">
        <v>50.468207</v>
      </c>
      <c r="C134" s="10">
        <v>58.957751800000004</v>
      </c>
      <c r="D134" s="10">
        <v>67.447296600000001</v>
      </c>
    </row>
    <row r="135" spans="1:4" ht="22.25" customHeight="1">
      <c r="A135" s="9">
        <v>48852</v>
      </c>
      <c r="B135" s="10">
        <v>51.006867999999997</v>
      </c>
      <c r="C135" s="10">
        <v>59.604003399999996</v>
      </c>
      <c r="D135" s="10">
        <v>68.201138799999995</v>
      </c>
    </row>
    <row r="136" spans="1:4" ht="22.25" customHeight="1">
      <c r="A136" s="9">
        <v>48883</v>
      </c>
      <c r="B136" s="10">
        <v>51.592430100000001</v>
      </c>
      <c r="C136" s="10">
        <v>60.3281195</v>
      </c>
      <c r="D136" s="10">
        <v>69.063808899999998</v>
      </c>
    </row>
    <row r="137" spans="1:4" ht="22.25" customHeight="1">
      <c r="A137" s="9">
        <v>48913</v>
      </c>
      <c r="B137" s="10">
        <v>51.4114833</v>
      </c>
      <c r="C137" s="10">
        <v>60.071683199999995</v>
      </c>
      <c r="D137" s="10">
        <v>68.731883199999999</v>
      </c>
    </row>
    <row r="138" spans="1:4" ht="22.25" customHeight="1">
      <c r="A138" s="9">
        <v>48944</v>
      </c>
      <c r="B138" s="10">
        <v>51.402590799999999</v>
      </c>
      <c r="C138" s="10">
        <v>60.051024800000008</v>
      </c>
      <c r="D138" s="10">
        <v>68.699458800000002</v>
      </c>
    </row>
    <row r="139" spans="1:4" ht="22.25" customHeight="1">
      <c r="A139" s="9">
        <v>48975</v>
      </c>
      <c r="B139" s="10">
        <v>52.111831299999992</v>
      </c>
      <c r="C139" s="10">
        <v>60.904002500000004</v>
      </c>
      <c r="D139" s="10">
        <v>69.696173700000003</v>
      </c>
    </row>
    <row r="140" spans="1:4" ht="22.25" customHeight="1">
      <c r="A140" s="9">
        <v>49003</v>
      </c>
      <c r="B140" s="10">
        <v>52.605942300000002</v>
      </c>
      <c r="C140" s="10">
        <v>61.483935899999992</v>
      </c>
      <c r="D140" s="10">
        <v>70.361929500000002</v>
      </c>
    </row>
    <row r="141" spans="1:4" ht="22.25" customHeight="1">
      <c r="A141" s="9">
        <v>49034</v>
      </c>
      <c r="B141" s="10">
        <v>53.695010600000003</v>
      </c>
      <c r="C141" s="10">
        <v>62.833298999999997</v>
      </c>
      <c r="D141" s="10">
        <v>71.971587299999996</v>
      </c>
    </row>
    <row r="142" spans="1:4" ht="22.25" customHeight="1">
      <c r="A142" s="9">
        <v>49064</v>
      </c>
      <c r="B142" s="10">
        <v>54.115672400000008</v>
      </c>
      <c r="C142" s="10">
        <v>63.359528499999996</v>
      </c>
      <c r="D142" s="10">
        <v>72.603384500000004</v>
      </c>
    </row>
    <row r="143" spans="1:4" ht="22.25" customHeight="1">
      <c r="A143" s="9">
        <v>49095</v>
      </c>
      <c r="B143" s="10">
        <v>54.524881500000006</v>
      </c>
      <c r="C143" s="10">
        <v>63.867421200000003</v>
      </c>
      <c r="D143" s="10">
        <v>73.209960800000005</v>
      </c>
    </row>
    <row r="144" spans="1:4" ht="22.25" customHeight="1">
      <c r="A144" s="9">
        <v>49125</v>
      </c>
      <c r="B144" s="10">
        <v>54.432263499999998</v>
      </c>
      <c r="C144" s="10">
        <v>63.751530600000002</v>
      </c>
      <c r="D144" s="10">
        <v>73.0707977</v>
      </c>
    </row>
    <row r="145" spans="1:4" ht="22.25" customHeight="1">
      <c r="A145" s="9">
        <v>49156</v>
      </c>
      <c r="B145" s="10">
        <v>54.400723300000003</v>
      </c>
      <c r="C145" s="10">
        <v>63.726041299999999</v>
      </c>
      <c r="D145" s="10">
        <v>73.051359200000007</v>
      </c>
    </row>
    <row r="146" spans="1:4" ht="22.25" customHeight="1">
      <c r="A146" s="9">
        <v>49187</v>
      </c>
      <c r="B146" s="10">
        <v>54.666604600000007</v>
      </c>
      <c r="C146" s="10">
        <v>64.045531699999998</v>
      </c>
      <c r="D146" s="10">
        <v>73.424458700000002</v>
      </c>
    </row>
    <row r="147" spans="1:4" ht="22.25" customHeight="1">
      <c r="A147" s="9">
        <v>49217</v>
      </c>
      <c r="B147" s="10">
        <v>55.200786500000007</v>
      </c>
      <c r="C147" s="10">
        <v>64.698276300000003</v>
      </c>
      <c r="D147" s="10">
        <v>74.1957661</v>
      </c>
    </row>
    <row r="148" spans="1:4" ht="22.25" customHeight="1">
      <c r="A148" s="9">
        <v>49248</v>
      </c>
      <c r="B148" s="10">
        <v>55.959634200000004</v>
      </c>
      <c r="C148" s="10">
        <v>65.606762400000008</v>
      </c>
      <c r="D148" s="10">
        <v>75.253890600000005</v>
      </c>
    </row>
    <row r="149" spans="1:4" ht="22.25" customHeight="1">
      <c r="A149" s="9">
        <v>49278</v>
      </c>
      <c r="B149" s="10">
        <v>55.591250700000003</v>
      </c>
      <c r="C149" s="10">
        <v>65.145310500000008</v>
      </c>
      <c r="D149" s="10">
        <v>74.699370299999998</v>
      </c>
    </row>
    <row r="150" spans="1:4" ht="22.25" customHeight="1">
      <c r="A150" s="9">
        <v>49309</v>
      </c>
      <c r="B150" s="10">
        <v>55.542565400000001</v>
      </c>
      <c r="C150" s="10">
        <v>65.091760199999996</v>
      </c>
      <c r="D150" s="10">
        <v>74.640954899999997</v>
      </c>
    </row>
    <row r="151" spans="1:4" ht="22.25" customHeight="1">
      <c r="A151" s="9">
        <v>49340</v>
      </c>
      <c r="B151" s="10">
        <v>56.111336600000001</v>
      </c>
      <c r="C151" s="10">
        <v>65.763872899999996</v>
      </c>
      <c r="D151" s="10">
        <v>75.416409099999996</v>
      </c>
    </row>
    <row r="152" spans="1:4" ht="22.25" customHeight="1">
      <c r="A152" s="9">
        <v>49368</v>
      </c>
      <c r="B152" s="10">
        <v>56.584896900000004</v>
      </c>
      <c r="C152" s="10">
        <v>66.345953100000003</v>
      </c>
      <c r="D152" s="10">
        <v>76.10700940000001</v>
      </c>
    </row>
    <row r="153" spans="1:4" ht="22.25" customHeight="1">
      <c r="A153" s="9">
        <v>49399</v>
      </c>
      <c r="B153" s="10">
        <v>57.906729499999997</v>
      </c>
      <c r="C153" s="10">
        <v>67.967090599999992</v>
      </c>
      <c r="D153" s="10">
        <v>78.027451799999994</v>
      </c>
    </row>
    <row r="154" spans="1:4" ht="22.25" customHeight="1">
      <c r="A154" s="9">
        <v>49429</v>
      </c>
      <c r="B154" s="10">
        <v>58.431191300000002</v>
      </c>
      <c r="C154" s="10">
        <v>68.620461000000006</v>
      </c>
      <c r="D154" s="10">
        <v>78.809730599999995</v>
      </c>
    </row>
    <row r="155" spans="1:4" ht="22.25" customHeight="1">
      <c r="A155" s="9">
        <v>49460</v>
      </c>
      <c r="B155" s="10">
        <v>58.481328599999998</v>
      </c>
      <c r="C155" s="10">
        <v>68.692357999999999</v>
      </c>
      <c r="D155" s="10">
        <v>78.9033874</v>
      </c>
    </row>
    <row r="156" spans="1:4" ht="22.25" customHeight="1">
      <c r="A156" s="9">
        <v>49490</v>
      </c>
      <c r="B156" s="10">
        <v>58.258626200000002</v>
      </c>
      <c r="C156" s="10">
        <v>68.412259599999999</v>
      </c>
      <c r="D156" s="10">
        <v>78.565893100000011</v>
      </c>
    </row>
    <row r="157" spans="1:4" ht="22.25" customHeight="1">
      <c r="A157" s="9">
        <v>49521</v>
      </c>
      <c r="B157" s="10">
        <v>58.607739800000004</v>
      </c>
      <c r="C157" s="10">
        <v>68.863898700000007</v>
      </c>
      <c r="D157" s="10">
        <v>79.12005769999999</v>
      </c>
    </row>
    <row r="158" spans="1:4" ht="22.25" customHeight="1">
      <c r="A158" s="9">
        <v>49552</v>
      </c>
      <c r="B158" s="10">
        <v>58.628339600000004</v>
      </c>
      <c r="C158" s="10">
        <v>68.896697700000004</v>
      </c>
      <c r="D158" s="10">
        <v>79.165055800000005</v>
      </c>
    </row>
    <row r="159" spans="1:4" ht="22.25" customHeight="1">
      <c r="A159" s="9">
        <v>49582</v>
      </c>
      <c r="B159" s="10">
        <v>59.242562</v>
      </c>
      <c r="C159" s="10">
        <v>69.6406554</v>
      </c>
      <c r="D159" s="10">
        <v>80.038748799999993</v>
      </c>
    </row>
    <row r="160" spans="1:4" ht="22.25" customHeight="1">
      <c r="A160" s="9">
        <v>49613</v>
      </c>
      <c r="B160" s="10">
        <v>59.968948300000001</v>
      </c>
      <c r="C160" s="10">
        <v>70.527317800000006</v>
      </c>
      <c r="D160" s="10">
        <v>81.085687399999998</v>
      </c>
    </row>
    <row r="161" spans="1:4" ht="22.25" customHeight="1">
      <c r="A161" s="9">
        <v>49643</v>
      </c>
      <c r="B161" s="10">
        <v>59.445785999999998</v>
      </c>
      <c r="C161" s="10">
        <v>69.893296599999999</v>
      </c>
      <c r="D161" s="10">
        <v>80.340807299999994</v>
      </c>
    </row>
    <row r="162" spans="1:4" ht="22.25" customHeight="1">
      <c r="A162" s="9">
        <v>49674</v>
      </c>
      <c r="B162" s="10">
        <v>59.471913700000002</v>
      </c>
      <c r="C162" s="10">
        <v>69.921250599999993</v>
      </c>
      <c r="D162" s="10">
        <v>80.370587499999999</v>
      </c>
    </row>
    <row r="163" spans="1:4" ht="22.25" customHeight="1">
      <c r="A163" s="9">
        <v>49705</v>
      </c>
      <c r="B163" s="10">
        <v>59.505530899999997</v>
      </c>
      <c r="C163" s="10">
        <v>69.988400200000001</v>
      </c>
      <c r="D163" s="10">
        <v>80.471269500000005</v>
      </c>
    </row>
    <row r="164" spans="1:4" ht="22.25" customHeight="1">
      <c r="A164" s="9">
        <v>49734</v>
      </c>
      <c r="B164" s="10">
        <v>60.320338700000001</v>
      </c>
      <c r="C164" s="10">
        <v>70.953807800000007</v>
      </c>
      <c r="D164" s="10">
        <v>81.587276899999992</v>
      </c>
    </row>
    <row r="165" spans="1:4" ht="22.25" customHeight="1">
      <c r="A165" s="9">
        <v>49765</v>
      </c>
      <c r="B165" s="10">
        <v>60.998676099999997</v>
      </c>
      <c r="C165" s="10">
        <v>71.783966399999997</v>
      </c>
      <c r="D165" s="10">
        <v>82.569256600000003</v>
      </c>
    </row>
    <row r="166" spans="1:4" ht="22.25" customHeight="1">
      <c r="A166" s="9">
        <v>49795</v>
      </c>
      <c r="B166" s="10">
        <v>61.182723599999996</v>
      </c>
      <c r="C166" s="10">
        <v>71.991423499999996</v>
      </c>
      <c r="D166" s="10">
        <v>82.80012339999999</v>
      </c>
    </row>
    <row r="167" spans="1:4" ht="22.25" customHeight="1">
      <c r="A167" s="9">
        <v>49826</v>
      </c>
      <c r="B167" s="10">
        <v>62.014817300000004</v>
      </c>
      <c r="C167" s="10">
        <v>73.044167799999997</v>
      </c>
      <c r="D167" s="10">
        <v>84.073518300000003</v>
      </c>
    </row>
    <row r="168" spans="1:4" ht="22.25" customHeight="1">
      <c r="A168" s="9">
        <v>49856</v>
      </c>
      <c r="B168" s="10">
        <v>62.180928500000007</v>
      </c>
      <c r="C168" s="10">
        <v>73.232334500000007</v>
      </c>
      <c r="D168" s="10">
        <v>84.283740600000002</v>
      </c>
    </row>
    <row r="169" spans="1:4" ht="22.25" customHeight="1">
      <c r="A169" s="9">
        <v>49887</v>
      </c>
      <c r="B169" s="10">
        <v>61.297798499999999</v>
      </c>
      <c r="C169" s="10">
        <v>72.133506100000005</v>
      </c>
      <c r="D169" s="10">
        <v>82.969213600000003</v>
      </c>
    </row>
    <row r="170" spans="1:4" ht="22.25" customHeight="1">
      <c r="A170" s="9">
        <v>49918</v>
      </c>
      <c r="B170" s="10">
        <v>61.702789800000005</v>
      </c>
      <c r="C170" s="10">
        <v>72.642363700000004</v>
      </c>
      <c r="D170" s="10">
        <v>83.581937699999997</v>
      </c>
    </row>
    <row r="171" spans="1:4" ht="22.25" customHeight="1">
      <c r="A171" s="9">
        <v>49948</v>
      </c>
      <c r="B171" s="10">
        <v>61.953227800000001</v>
      </c>
      <c r="C171" s="10">
        <v>72.959813799999992</v>
      </c>
      <c r="D171" s="10">
        <v>83.966399899999999</v>
      </c>
    </row>
    <row r="172" spans="1:4" ht="22.25" customHeight="1">
      <c r="A172" s="9">
        <v>49979</v>
      </c>
      <c r="B172" s="10">
        <v>62.382021899999998</v>
      </c>
      <c r="C172" s="10">
        <v>73.485824399999998</v>
      </c>
      <c r="D172" s="10">
        <v>84.589626899999999</v>
      </c>
    </row>
    <row r="173" spans="1:4" ht="22.25" customHeight="1">
      <c r="A173" s="9">
        <v>50009</v>
      </c>
      <c r="B173" s="10">
        <v>61.932755</v>
      </c>
      <c r="C173" s="10">
        <v>72.948599799999997</v>
      </c>
      <c r="D173" s="10">
        <v>83.964444700000001</v>
      </c>
    </row>
    <row r="174" spans="1:4" ht="22.25" customHeight="1">
      <c r="A174" s="9">
        <v>50040</v>
      </c>
      <c r="B174" s="10">
        <v>61.556412399999999</v>
      </c>
      <c r="C174" s="10">
        <v>72.52355750000001</v>
      </c>
      <c r="D174" s="10">
        <v>83.490702499999998</v>
      </c>
    </row>
    <row r="175" spans="1:4" ht="22.25" customHeight="1">
      <c r="A175" s="9">
        <v>50071</v>
      </c>
      <c r="B175" s="10">
        <v>62.046295899999997</v>
      </c>
      <c r="C175" s="10">
        <v>73.168120200000004</v>
      </c>
      <c r="D175" s="10">
        <v>84.289944399999996</v>
      </c>
    </row>
    <row r="176" spans="1:4" ht="22.25" customHeight="1">
      <c r="A176" s="9">
        <v>50099</v>
      </c>
      <c r="B176" s="10">
        <v>62.238603599999998</v>
      </c>
      <c r="C176" s="10">
        <v>73.395118300000007</v>
      </c>
      <c r="D176" s="10">
        <v>84.55163300000001</v>
      </c>
    </row>
    <row r="177" spans="1:4" ht="22.25" customHeight="1">
      <c r="A177" s="9">
        <v>50130</v>
      </c>
      <c r="B177" s="10">
        <v>63.083683099999995</v>
      </c>
      <c r="C177" s="10">
        <v>74.431435399999998</v>
      </c>
      <c r="D177" s="10">
        <v>85.779187800000003</v>
      </c>
    </row>
    <row r="178" spans="1:4" ht="22.25" customHeight="1">
      <c r="A178" s="9">
        <v>50160</v>
      </c>
      <c r="B178" s="10">
        <v>63.413305200000003</v>
      </c>
      <c r="C178" s="10">
        <v>74.811576000000002</v>
      </c>
      <c r="D178" s="10">
        <v>86.209846800000008</v>
      </c>
    </row>
    <row r="179" spans="1:4" ht="22.25" customHeight="1">
      <c r="A179" s="9">
        <v>50191</v>
      </c>
      <c r="B179" s="10">
        <v>64.246471200000002</v>
      </c>
      <c r="C179" s="10">
        <v>75.789875800000004</v>
      </c>
      <c r="D179" s="10">
        <v>87.333280500000001</v>
      </c>
    </row>
    <row r="180" spans="1:4" ht="22.25" customHeight="1">
      <c r="A180" s="9">
        <v>50221</v>
      </c>
      <c r="B180" s="10">
        <v>64.138082499999996</v>
      </c>
      <c r="C180" s="10">
        <v>75.664835400000001</v>
      </c>
      <c r="D180" s="10">
        <v>87.191588300000006</v>
      </c>
    </row>
    <row r="181" spans="1:4" ht="22.25" customHeight="1">
      <c r="A181" s="9">
        <v>50252</v>
      </c>
      <c r="B181" s="10">
        <v>63.576241200000005</v>
      </c>
      <c r="C181" s="10">
        <v>74.983062900000007</v>
      </c>
      <c r="D181" s="10">
        <v>86.389884500000008</v>
      </c>
    </row>
    <row r="182" spans="1:4" ht="22.25" customHeight="1">
      <c r="A182" s="9">
        <v>50283</v>
      </c>
      <c r="B182" s="10">
        <v>63.823701700000001</v>
      </c>
      <c r="C182" s="10">
        <v>75.294815999999997</v>
      </c>
      <c r="D182" s="10">
        <v>86.765930300000008</v>
      </c>
    </row>
    <row r="183" spans="1:4" ht="22.25" customHeight="1">
      <c r="A183" s="9">
        <v>50313</v>
      </c>
      <c r="B183" s="10">
        <v>64.203343199999992</v>
      </c>
      <c r="C183" s="10">
        <v>75.752232300000003</v>
      </c>
      <c r="D183" s="10">
        <v>87.301121499999994</v>
      </c>
    </row>
    <row r="184" spans="1:4" ht="22.25" customHeight="1">
      <c r="A184" s="9">
        <v>50344</v>
      </c>
      <c r="B184" s="10">
        <v>64.662501899999995</v>
      </c>
      <c r="C184" s="10">
        <v>76.320129299999991</v>
      </c>
      <c r="D184" s="10">
        <v>87.977756799999995</v>
      </c>
    </row>
    <row r="185" spans="1:4" ht="22.25" customHeight="1">
      <c r="A185" s="9">
        <v>50374</v>
      </c>
      <c r="B185" s="10">
        <v>64.060711499999996</v>
      </c>
      <c r="C185" s="10">
        <v>75.613033900000005</v>
      </c>
      <c r="D185" s="10">
        <v>87.165356299999999</v>
      </c>
    </row>
    <row r="186" spans="1:4" ht="22.25" customHeight="1">
      <c r="A186" s="9">
        <v>50405</v>
      </c>
      <c r="B186" s="10">
        <v>63.847468900000003</v>
      </c>
      <c r="C186" s="10">
        <v>75.358209599999995</v>
      </c>
      <c r="D186" s="10">
        <v>86.868950299999995</v>
      </c>
    </row>
    <row r="187" spans="1:4" ht="22.25" customHeight="1">
      <c r="A187" s="9">
        <v>50436</v>
      </c>
      <c r="B187" s="10">
        <v>64.318154000000007</v>
      </c>
      <c r="C187" s="10">
        <v>75.94281620000001</v>
      </c>
      <c r="D187" s="10">
        <v>87.567478399999999</v>
      </c>
    </row>
    <row r="188" spans="1:4" ht="22.25" customHeight="1">
      <c r="A188" s="9">
        <v>50464</v>
      </c>
      <c r="B188" s="10">
        <v>64.562626199999997</v>
      </c>
      <c r="C188" s="10">
        <v>76.243295099999997</v>
      </c>
      <c r="D188" s="10">
        <v>87.923963999999998</v>
      </c>
    </row>
    <row r="189" spans="1:4" ht="22.25" customHeight="1">
      <c r="A189" s="9">
        <v>50495</v>
      </c>
      <c r="B189" s="10">
        <v>65.602602399999995</v>
      </c>
      <c r="C189" s="10">
        <v>77.513750400000006</v>
      </c>
      <c r="D189" s="10">
        <v>89.424898399999989</v>
      </c>
    </row>
    <row r="190" spans="1:4" ht="22.25" customHeight="1">
      <c r="A190" s="9">
        <v>50525</v>
      </c>
      <c r="B190" s="10">
        <v>65.840317600000006</v>
      </c>
      <c r="C190" s="10">
        <v>77.827217599999997</v>
      </c>
      <c r="D190" s="10">
        <v>89.814117600000003</v>
      </c>
    </row>
    <row r="191" spans="1:4" ht="22.25" customHeight="1">
      <c r="A191" s="9">
        <v>50556</v>
      </c>
      <c r="B191" s="10">
        <v>66.159320899999997</v>
      </c>
      <c r="C191" s="10">
        <v>78.215088699999995</v>
      </c>
      <c r="D191" s="10">
        <v>90.270856600000002</v>
      </c>
    </row>
    <row r="192" spans="1:4" ht="22.25" customHeight="1">
      <c r="A192" s="9">
        <v>50586</v>
      </c>
      <c r="B192" s="10">
        <v>65.934940300000008</v>
      </c>
      <c r="C192" s="10">
        <v>77.937619900000001</v>
      </c>
      <c r="D192" s="10">
        <v>89.940299500000009</v>
      </c>
    </row>
    <row r="193" spans="1:4" ht="22.25" customHeight="1">
      <c r="A193" s="9">
        <v>50617</v>
      </c>
      <c r="B193" s="10">
        <v>65.878556500000002</v>
      </c>
      <c r="C193" s="10">
        <v>77.8574713</v>
      </c>
      <c r="D193" s="10">
        <v>89.836386000000005</v>
      </c>
    </row>
    <row r="194" spans="1:4" ht="22.25" customHeight="1">
      <c r="A194" s="9">
        <v>50648</v>
      </c>
      <c r="B194" s="10">
        <v>66.042019100000005</v>
      </c>
      <c r="C194" s="10">
        <v>78.044727300000005</v>
      </c>
      <c r="D194" s="10">
        <v>90.047435499999992</v>
      </c>
    </row>
    <row r="195" spans="1:4" ht="22.25" customHeight="1">
      <c r="A195" s="9">
        <v>50678</v>
      </c>
      <c r="B195" s="10">
        <v>66.378798400000008</v>
      </c>
      <c r="C195" s="10">
        <v>78.470253700000001</v>
      </c>
      <c r="D195" s="10">
        <v>90.561708899999999</v>
      </c>
    </row>
    <row r="196" spans="1:4" ht="22.25" customHeight="1">
      <c r="A196" s="9">
        <v>50709</v>
      </c>
      <c r="B196" s="10">
        <v>67.014571000000004</v>
      </c>
      <c r="C196" s="10">
        <v>79.225849000000011</v>
      </c>
      <c r="D196" s="10">
        <v>91.437126899999996</v>
      </c>
    </row>
    <row r="197" spans="1:4" ht="22.25" customHeight="1">
      <c r="A197" s="9">
        <v>50739</v>
      </c>
      <c r="B197" s="10">
        <v>66.5492347</v>
      </c>
      <c r="C197" s="10">
        <v>78.637628500000005</v>
      </c>
      <c r="D197" s="10">
        <v>90.726022400000005</v>
      </c>
    </row>
    <row r="198" spans="1:4" ht="22.25" customHeight="1">
      <c r="A198" s="9">
        <v>50770</v>
      </c>
      <c r="B198" s="10">
        <v>66.523530300000004</v>
      </c>
      <c r="C198" s="10">
        <v>78.577243499999994</v>
      </c>
      <c r="D198" s="10">
        <v>90.630956600000005</v>
      </c>
    </row>
    <row r="199" spans="1:4" ht="22.25" customHeight="1">
      <c r="A199" s="9">
        <v>50801</v>
      </c>
      <c r="B199" s="10">
        <v>67.074748099999994</v>
      </c>
      <c r="C199" s="10">
        <v>79.201987000000003</v>
      </c>
      <c r="D199" s="10">
        <v>91.329225899999997</v>
      </c>
    </row>
    <row r="200" spans="1:4" ht="22.25" customHeight="1">
      <c r="A200" s="9">
        <v>50829</v>
      </c>
      <c r="B200" s="10">
        <v>67.295446999999996</v>
      </c>
      <c r="C200" s="10">
        <v>79.501390299999997</v>
      </c>
      <c r="D200" s="10">
        <v>91.707333500000004</v>
      </c>
    </row>
    <row r="201" spans="1:4" ht="22.25" customHeight="1">
      <c r="A201" s="9">
        <v>50860</v>
      </c>
      <c r="B201" s="10">
        <v>68.424937499999999</v>
      </c>
      <c r="C201" s="10">
        <v>80.900369999999995</v>
      </c>
      <c r="D201" s="10">
        <v>93.375802399999998</v>
      </c>
    </row>
    <row r="202" spans="1:4" ht="22.25" customHeight="1">
      <c r="A202" s="9">
        <v>50890</v>
      </c>
      <c r="B202" s="10">
        <v>68.806763799999999</v>
      </c>
      <c r="C202" s="10">
        <v>81.38128900000001</v>
      </c>
      <c r="D202" s="10">
        <v>93.955814199999992</v>
      </c>
    </row>
    <row r="203" spans="1:4" ht="22.25" customHeight="1">
      <c r="A203" s="9">
        <v>50921</v>
      </c>
      <c r="B203" s="10">
        <v>68.699928900000003</v>
      </c>
      <c r="C203" s="10">
        <v>81.266398199999998</v>
      </c>
      <c r="D203" s="10">
        <v>93.832867499999992</v>
      </c>
    </row>
    <row r="204" spans="1:4" ht="22.25" customHeight="1">
      <c r="A204" s="9">
        <v>50951</v>
      </c>
      <c r="B204" s="10">
        <v>68.298818000000011</v>
      </c>
      <c r="C204" s="10">
        <v>80.778075700000002</v>
      </c>
      <c r="D204" s="10">
        <v>93.257333400000007</v>
      </c>
    </row>
    <row r="205" spans="1:4" ht="22.25" customHeight="1">
      <c r="A205" s="9">
        <v>50982</v>
      </c>
      <c r="B205" s="10">
        <v>68.580568800000009</v>
      </c>
      <c r="C205" s="10">
        <v>81.132536299999998</v>
      </c>
      <c r="D205" s="10">
        <v>93.684503700000008</v>
      </c>
    </row>
    <row r="206" spans="1:4" ht="22.25" customHeight="1">
      <c r="A206" s="9">
        <v>51013</v>
      </c>
      <c r="B206" s="10">
        <v>68.4033953</v>
      </c>
      <c r="C206" s="10">
        <v>80.937746300000001</v>
      </c>
      <c r="D206" s="10">
        <v>93.472097199999993</v>
      </c>
    </row>
    <row r="207" spans="1:4" ht="22.25" customHeight="1">
      <c r="A207" s="9">
        <v>51043</v>
      </c>
      <c r="B207" s="10">
        <v>68.758847000000003</v>
      </c>
      <c r="C207" s="10">
        <v>81.393117500000002</v>
      </c>
      <c r="D207" s="10">
        <v>94.027388000000002</v>
      </c>
    </row>
    <row r="208" spans="1:4" ht="22.25" customHeight="1">
      <c r="A208" s="9">
        <v>51074</v>
      </c>
      <c r="B208" s="10">
        <v>69.510177200000001</v>
      </c>
      <c r="C208" s="10">
        <v>82.274908199999999</v>
      </c>
      <c r="D208" s="10">
        <v>95.039639199999996</v>
      </c>
    </row>
    <row r="209" spans="1:4" ht="22.25" customHeight="1">
      <c r="A209" s="9">
        <v>51104</v>
      </c>
      <c r="B209" s="10">
        <v>68.7903582</v>
      </c>
      <c r="C209" s="10">
        <v>81.414414600000001</v>
      </c>
      <c r="D209" s="10">
        <v>94.038471000000001</v>
      </c>
    </row>
    <row r="210" spans="1:4" ht="22.25" customHeight="1">
      <c r="A210" s="9">
        <v>51135</v>
      </c>
      <c r="B210" s="10">
        <v>68.620648799999998</v>
      </c>
      <c r="C210" s="10">
        <v>81.216715800000003</v>
      </c>
      <c r="D210" s="10">
        <v>93.8127827</v>
      </c>
    </row>
    <row r="211" spans="1:4" ht="22.25" customHeight="1">
      <c r="A211" s="9">
        <v>51166</v>
      </c>
      <c r="B211" s="10">
        <v>68.8310101</v>
      </c>
      <c r="C211" s="10">
        <v>81.460609399999996</v>
      </c>
      <c r="D211" s="10">
        <v>94.090208799999999</v>
      </c>
    </row>
    <row r="212" spans="1:4" ht="22.25" customHeight="1">
      <c r="A212" s="9">
        <v>51195</v>
      </c>
      <c r="B212" s="10">
        <v>69.411498800000004</v>
      </c>
      <c r="C212" s="10">
        <v>82.191698000000002</v>
      </c>
      <c r="D212" s="10">
        <v>94.971897100000007</v>
      </c>
    </row>
    <row r="213" spans="1:4" ht="22.25" customHeight="1">
      <c r="A213" s="9">
        <v>51226</v>
      </c>
      <c r="B213" s="10">
        <v>70.012076300000004</v>
      </c>
      <c r="C213" s="10">
        <v>82.944096599999995</v>
      </c>
      <c r="D213" s="10">
        <v>95.876116800000005</v>
      </c>
    </row>
    <row r="214" spans="1:4" ht="22.25" customHeight="1">
      <c r="A214" s="9">
        <v>51256</v>
      </c>
      <c r="B214" s="10">
        <v>70.064469899999992</v>
      </c>
      <c r="C214" s="10">
        <v>83.019899899999999</v>
      </c>
      <c r="D214" s="10">
        <v>95.975329799999997</v>
      </c>
    </row>
    <row r="215" spans="1:4" ht="22.25" customHeight="1">
      <c r="A215" s="9">
        <v>51287</v>
      </c>
      <c r="B215" s="10">
        <v>71.171652200000011</v>
      </c>
      <c r="C215" s="10">
        <v>84.347732699999995</v>
      </c>
      <c r="D215" s="10">
        <v>97.523813199999992</v>
      </c>
    </row>
    <row r="216" spans="1:4" ht="22.25" customHeight="1">
      <c r="A216" s="9">
        <v>51317</v>
      </c>
      <c r="B216" s="10">
        <v>71.302820999999994</v>
      </c>
      <c r="C216" s="10">
        <v>84.500957100000008</v>
      </c>
      <c r="D216" s="10">
        <v>97.699093099999999</v>
      </c>
    </row>
    <row r="217" spans="1:4" ht="22.25" customHeight="1">
      <c r="A217" s="9">
        <v>51348</v>
      </c>
      <c r="B217" s="10">
        <v>70.424619199999995</v>
      </c>
      <c r="C217" s="10">
        <v>83.407056799999992</v>
      </c>
      <c r="D217" s="10">
        <v>96.389494400000004</v>
      </c>
    </row>
    <row r="218" spans="1:4" ht="22.25" customHeight="1">
      <c r="A218" s="9">
        <v>51379</v>
      </c>
      <c r="B218" s="10">
        <v>70.747565299999991</v>
      </c>
      <c r="C218" s="10">
        <v>83.833869200000009</v>
      </c>
      <c r="D218" s="10">
        <v>96.920173199999994</v>
      </c>
    </row>
    <row r="219" spans="1:4" ht="22.25" customHeight="1">
      <c r="A219" s="9">
        <v>51409</v>
      </c>
      <c r="B219" s="10">
        <v>71.013175599999997</v>
      </c>
      <c r="C219" s="10">
        <v>84.166491699999995</v>
      </c>
      <c r="D219" s="10">
        <v>97.319807699999998</v>
      </c>
    </row>
    <row r="220" spans="1:4" ht="22.25" customHeight="1">
      <c r="A220" s="9">
        <v>51440</v>
      </c>
      <c r="B220" s="10">
        <v>71.4475391</v>
      </c>
      <c r="C220" s="10">
        <v>84.698071600000006</v>
      </c>
      <c r="D220" s="10">
        <v>97.948604099999997</v>
      </c>
    </row>
    <row r="221" spans="1:4" ht="22.25" customHeight="1">
      <c r="A221" s="9">
        <v>51470</v>
      </c>
      <c r="B221" s="10">
        <v>71.079783199999994</v>
      </c>
      <c r="C221" s="10">
        <v>84.242358100000004</v>
      </c>
      <c r="D221" s="10">
        <v>97.404933</v>
      </c>
    </row>
    <row r="222" spans="1:4" ht="22.25" customHeight="1">
      <c r="A222" s="9">
        <v>51501</v>
      </c>
      <c r="B222" s="10">
        <v>70.818883400000004</v>
      </c>
      <c r="C222" s="10">
        <v>83.932758500000006</v>
      </c>
      <c r="D222" s="10">
        <v>97.046633599999993</v>
      </c>
    </row>
    <row r="223" spans="1:4" ht="22.25" customHeight="1">
      <c r="A223" s="9">
        <v>51532</v>
      </c>
      <c r="B223" s="10">
        <v>71.266898300000008</v>
      </c>
      <c r="C223" s="10">
        <v>84.513090800000001</v>
      </c>
      <c r="D223" s="10">
        <v>97.759283300000007</v>
      </c>
    </row>
    <row r="224" spans="1:4" ht="22.25" customHeight="1">
      <c r="A224" s="9">
        <v>51560</v>
      </c>
      <c r="B224" s="10">
        <v>71.414562899999993</v>
      </c>
      <c r="C224" s="10">
        <v>84.673083999999989</v>
      </c>
      <c r="D224" s="10">
        <v>97.931605200000007</v>
      </c>
    </row>
    <row r="225" spans="1:4" ht="22.25" customHeight="1">
      <c r="A225" s="9">
        <v>51591</v>
      </c>
      <c r="B225" s="10">
        <v>72.196015099999997</v>
      </c>
      <c r="C225" s="10">
        <v>85.62341219999999</v>
      </c>
      <c r="D225" s="10">
        <v>99.050809299999997</v>
      </c>
    </row>
    <row r="226" spans="1:4" ht="22.25" customHeight="1">
      <c r="A226" s="9">
        <v>51621</v>
      </c>
      <c r="B226" s="10">
        <v>72.291104900000008</v>
      </c>
      <c r="C226" s="10">
        <v>85.746658600000004</v>
      </c>
      <c r="D226" s="10">
        <v>99.202212299999999</v>
      </c>
    </row>
    <row r="227" spans="1:4" ht="22.25" customHeight="1">
      <c r="A227" s="9">
        <v>51652</v>
      </c>
      <c r="B227" s="10">
        <v>72.716276300000004</v>
      </c>
      <c r="C227" s="10">
        <v>86.294602099999992</v>
      </c>
      <c r="D227" s="10">
        <v>99.872927900000008</v>
      </c>
    </row>
    <row r="228" spans="1:4" ht="22.25" customHeight="1">
      <c r="A228" s="9">
        <v>51682</v>
      </c>
      <c r="B228" s="10">
        <v>72.354931899999997</v>
      </c>
      <c r="C228" s="10">
        <v>85.894244200000003</v>
      </c>
      <c r="D228" s="10">
        <v>99.433556499999995</v>
      </c>
    </row>
    <row r="229" spans="1:4" ht="22.25" customHeight="1">
      <c r="A229" s="9">
        <v>51713</v>
      </c>
      <c r="B229" s="10">
        <v>71.703808899999999</v>
      </c>
      <c r="C229" s="10">
        <v>85.100828199999995</v>
      </c>
      <c r="D229" s="10">
        <v>98.497847500000006</v>
      </c>
    </row>
    <row r="230" spans="1:4" ht="22.25" customHeight="1">
      <c r="A230" s="9">
        <v>51744</v>
      </c>
      <c r="B230" s="10">
        <v>72.023170800000003</v>
      </c>
      <c r="C230" s="10">
        <v>85.462120999999996</v>
      </c>
      <c r="D230" s="10">
        <v>98.901071099999996</v>
      </c>
    </row>
    <row r="231" spans="1:4" ht="22.25" customHeight="1">
      <c r="A231" s="9">
        <v>51774</v>
      </c>
      <c r="B231" s="10">
        <v>72.272748399999998</v>
      </c>
      <c r="C231" s="10">
        <v>85.767111599999993</v>
      </c>
      <c r="D231" s="10">
        <v>99.261474800000002</v>
      </c>
    </row>
    <row r="232" spans="1:4" ht="22.25" customHeight="1">
      <c r="A232" s="9">
        <v>51805</v>
      </c>
      <c r="B232" s="10">
        <v>72.70835919999999</v>
      </c>
      <c r="C232" s="10">
        <v>86.289098999999993</v>
      </c>
      <c r="D232" s="10">
        <v>99.869838799999997</v>
      </c>
    </row>
    <row r="233" spans="1:4" ht="22.25" customHeight="1">
      <c r="A233" s="9">
        <v>51835</v>
      </c>
      <c r="B233" s="10">
        <v>72.155350499999997</v>
      </c>
      <c r="C233" s="10">
        <v>85.608423500000001</v>
      </c>
      <c r="D233" s="10">
        <v>99.061496399999996</v>
      </c>
    </row>
    <row r="234" spans="1:4" ht="22.25" customHeight="1">
      <c r="A234" s="9">
        <v>51866</v>
      </c>
      <c r="B234" s="10">
        <v>71.764586399999999</v>
      </c>
      <c r="C234" s="10">
        <v>85.153715899999995</v>
      </c>
      <c r="D234" s="10">
        <v>98.542845400000004</v>
      </c>
    </row>
    <row r="235" spans="1:4" ht="22.25" customHeight="1">
      <c r="A235" s="9">
        <v>51897</v>
      </c>
      <c r="B235" s="10">
        <v>72.186451399999996</v>
      </c>
      <c r="C235" s="10">
        <v>85.667140500000002</v>
      </c>
      <c r="D235" s="10">
        <v>99.147829700000003</v>
      </c>
    </row>
    <row r="236" spans="1:4" ht="22.25" customHeight="1">
      <c r="A236" s="9">
        <v>51925</v>
      </c>
      <c r="B236" s="10">
        <v>72.22097740000001</v>
      </c>
      <c r="C236" s="10">
        <v>85.735311499999995</v>
      </c>
      <c r="D236" s="10">
        <v>99.249645700000002</v>
      </c>
    </row>
    <row r="237" spans="1:4" ht="22.25" customHeight="1">
      <c r="A237" s="9">
        <v>51956</v>
      </c>
      <c r="B237" s="10">
        <v>73.028038699999996</v>
      </c>
      <c r="C237" s="10">
        <v>86.750490100000007</v>
      </c>
      <c r="D237" s="10">
        <v>100.4729416</v>
      </c>
    </row>
    <row r="238" spans="1:4" ht="22.25" customHeight="1">
      <c r="A238" s="9">
        <v>51986</v>
      </c>
      <c r="B238" s="10">
        <v>73.421415600000003</v>
      </c>
      <c r="C238" s="10">
        <v>87.197257199999996</v>
      </c>
      <c r="D238" s="10">
        <v>100.9730989</v>
      </c>
    </row>
    <row r="239" spans="1:4" ht="22.25" customHeight="1">
      <c r="A239" s="9">
        <v>52017</v>
      </c>
      <c r="B239" s="10">
        <v>73.636077499999999</v>
      </c>
      <c r="C239" s="10">
        <v>87.458425300000002</v>
      </c>
      <c r="D239" s="10">
        <v>101.2807731</v>
      </c>
    </row>
    <row r="240" spans="1:4" ht="22.25" customHeight="1">
      <c r="A240" s="9">
        <v>52047</v>
      </c>
      <c r="B240" s="10">
        <v>73.436795900000007</v>
      </c>
      <c r="C240" s="10">
        <v>87.183693700000006</v>
      </c>
      <c r="D240" s="10">
        <v>100.93059150000001</v>
      </c>
    </row>
    <row r="241" spans="1:4" ht="22.25" customHeight="1">
      <c r="A241" s="9">
        <v>52078</v>
      </c>
      <c r="B241" s="10">
        <v>73.318796399999997</v>
      </c>
      <c r="C241" s="10">
        <v>87.019567600000002</v>
      </c>
      <c r="D241" s="10">
        <v>100.7203387</v>
      </c>
    </row>
    <row r="242" spans="1:4" ht="22.25" customHeight="1">
      <c r="A242" s="9">
        <v>52109</v>
      </c>
      <c r="B242" s="10">
        <v>73.317333900000008</v>
      </c>
      <c r="C242" s="10">
        <v>87.019536700000003</v>
      </c>
      <c r="D242" s="10">
        <v>100.7217395</v>
      </c>
    </row>
    <row r="243" spans="1:4" ht="22.25" customHeight="1">
      <c r="A243" s="9">
        <v>52139</v>
      </c>
      <c r="B243" s="10">
        <v>73.666359400000005</v>
      </c>
      <c r="C243" s="10">
        <v>87.434947499999993</v>
      </c>
      <c r="D243" s="10">
        <v>101.2035355</v>
      </c>
    </row>
    <row r="244" spans="1:4" ht="22.25" customHeight="1">
      <c r="A244" s="9">
        <v>52170</v>
      </c>
      <c r="B244" s="10">
        <v>74.126085799999998</v>
      </c>
      <c r="C244" s="10">
        <v>87.992134800000002</v>
      </c>
      <c r="D244" s="10">
        <v>101.85818379999999</v>
      </c>
    </row>
    <row r="245" spans="1:4" ht="22.25" customHeight="1">
      <c r="A245" s="9">
        <v>52200</v>
      </c>
      <c r="B245" s="10">
        <v>73.435997799999996</v>
      </c>
      <c r="C245" s="10">
        <v>87.156801000000002</v>
      </c>
      <c r="D245" s="10">
        <v>100.8776041</v>
      </c>
    </row>
    <row r="246" spans="1:4" ht="22.25" customHeight="1">
      <c r="A246" s="9">
        <v>52231</v>
      </c>
      <c r="B246" s="10">
        <v>73.157588500000003</v>
      </c>
      <c r="C246" s="10">
        <v>86.821349099999992</v>
      </c>
      <c r="D246" s="10">
        <v>100.4851097</v>
      </c>
    </row>
    <row r="247" spans="1:4" ht="22.25" customHeight="1">
      <c r="A247" s="9">
        <v>52262</v>
      </c>
      <c r="B247" s="10">
        <v>73.389076500000002</v>
      </c>
      <c r="C247" s="10">
        <v>87.104001100000005</v>
      </c>
      <c r="D247" s="10">
        <v>100.8189258</v>
      </c>
    </row>
    <row r="248" spans="1:4" ht="22.25" customHeight="1">
      <c r="A248" s="9">
        <v>52290</v>
      </c>
      <c r="B248" s="10">
        <v>73.667326299999999</v>
      </c>
      <c r="C248" s="10">
        <v>87.438593499999996</v>
      </c>
      <c r="D248" s="10">
        <v>101.20986070000001</v>
      </c>
    </row>
    <row r="249" spans="1:4" ht="22.25" customHeight="1">
      <c r="A249" s="9">
        <v>52321</v>
      </c>
      <c r="B249" s="10">
        <v>74.6228871</v>
      </c>
      <c r="C249" s="10">
        <v>88.641281700000008</v>
      </c>
      <c r="D249" s="10">
        <v>102.6596764</v>
      </c>
    </row>
    <row r="250" spans="1:4" ht="22.25" customHeight="1">
      <c r="A250" s="9">
        <v>52351</v>
      </c>
      <c r="B250" s="10">
        <v>74.914555900000011</v>
      </c>
      <c r="C250" s="10">
        <v>89.009681599999993</v>
      </c>
      <c r="D250" s="10">
        <v>103.10480720000001</v>
      </c>
    </row>
    <row r="251" spans="1:4" ht="22.25" customHeight="1">
      <c r="A251" s="9">
        <v>52382</v>
      </c>
      <c r="B251" s="10">
        <v>74.869242099999994</v>
      </c>
      <c r="C251" s="10">
        <v>88.933950100000004</v>
      </c>
      <c r="D251" s="10">
        <v>102.99865800000001</v>
      </c>
    </row>
    <row r="252" spans="1:4" ht="22.25" customHeight="1">
      <c r="A252" s="9">
        <v>52412</v>
      </c>
      <c r="B252" s="10">
        <v>74.490207900000001</v>
      </c>
      <c r="C252" s="10">
        <v>88.445342400000001</v>
      </c>
      <c r="D252" s="10">
        <v>102.400477</v>
      </c>
    </row>
    <row r="253" spans="1:4" ht="22.25" customHeight="1">
      <c r="A253" s="9">
        <v>52443</v>
      </c>
      <c r="B253" s="10">
        <v>74.608626999999998</v>
      </c>
      <c r="C253" s="10">
        <v>88.614109599999992</v>
      </c>
      <c r="D253" s="10">
        <v>102.61959220000001</v>
      </c>
    </row>
    <row r="254" spans="1:4" ht="22.25" customHeight="1">
      <c r="A254" s="9">
        <v>52474</v>
      </c>
      <c r="B254" s="10">
        <v>74.495322000000002</v>
      </c>
      <c r="C254" s="10">
        <v>88.460826299999994</v>
      </c>
      <c r="D254" s="10">
        <v>102.42633049999999</v>
      </c>
    </row>
    <row r="255" spans="1:4" ht="22.25" customHeight="1">
      <c r="A255" s="9">
        <v>52504</v>
      </c>
      <c r="B255" s="10">
        <v>74.786443300000002</v>
      </c>
      <c r="C255" s="10">
        <v>88.829505400000002</v>
      </c>
      <c r="D255" s="10">
        <v>102.87256749999999</v>
      </c>
    </row>
    <row r="256" spans="1:4" ht="22.25" customHeight="1">
      <c r="A256" s="9">
        <v>52535</v>
      </c>
      <c r="B256" s="10">
        <v>75.177332899999996</v>
      </c>
      <c r="C256" s="10">
        <v>89.328493699999996</v>
      </c>
      <c r="D256" s="10">
        <v>103.4796545</v>
      </c>
    </row>
    <row r="257" spans="1:4" ht="22.25" customHeight="1">
      <c r="A257" s="9">
        <v>52565</v>
      </c>
      <c r="B257" s="10">
        <v>74.357480600000002</v>
      </c>
      <c r="C257" s="10">
        <v>88.345605000000006</v>
      </c>
      <c r="D257" s="10">
        <v>102.33372940000001</v>
      </c>
    </row>
    <row r="258" spans="1:4" ht="22.25" customHeight="1">
      <c r="A258" s="9">
        <v>52596</v>
      </c>
      <c r="B258" s="10">
        <v>74.123099800000006</v>
      </c>
      <c r="C258" s="10">
        <v>88.060873100000009</v>
      </c>
      <c r="D258" s="10">
        <v>101.99864629999999</v>
      </c>
    </row>
    <row r="259" spans="1:4" ht="22.25" customHeight="1">
      <c r="A259" s="9">
        <v>52627</v>
      </c>
      <c r="B259" s="10">
        <v>74.210217599999993</v>
      </c>
      <c r="C259" s="10">
        <v>88.159161400000002</v>
      </c>
      <c r="D259" s="10">
        <v>102.1081052</v>
      </c>
    </row>
    <row r="260" spans="1:4" ht="22.25" customHeight="1">
      <c r="A260" s="9">
        <v>52656</v>
      </c>
      <c r="B260" s="10">
        <v>74.76169680000001</v>
      </c>
      <c r="C260" s="10">
        <v>88.838878600000001</v>
      </c>
      <c r="D260" s="10">
        <v>102.9160605</v>
      </c>
    </row>
    <row r="261" spans="1:4" ht="22.25" customHeight="1">
      <c r="A261" s="9">
        <v>52687</v>
      </c>
      <c r="B261" s="10">
        <v>75.334731899999994</v>
      </c>
      <c r="C261" s="10">
        <v>89.541373100000001</v>
      </c>
      <c r="D261" s="10">
        <v>103.74801440000002</v>
      </c>
    </row>
    <row r="262" spans="1:4" ht="22.25" customHeight="1">
      <c r="A262" s="9">
        <v>52717</v>
      </c>
      <c r="B262" s="10">
        <v>75.335177999999999</v>
      </c>
      <c r="C262" s="10">
        <v>89.542867200000003</v>
      </c>
      <c r="D262" s="10">
        <v>103.7505563</v>
      </c>
    </row>
    <row r="263" spans="1:4" ht="22.25" customHeight="1">
      <c r="A263" s="9">
        <v>52748</v>
      </c>
      <c r="B263" s="10">
        <v>76.212840200000002</v>
      </c>
      <c r="C263" s="10">
        <v>90.618818099999999</v>
      </c>
      <c r="D263" s="10">
        <v>105.02479599999999</v>
      </c>
    </row>
    <row r="264" spans="1:4" ht="22.25" customHeight="1">
      <c r="A264" s="9">
        <v>52778</v>
      </c>
      <c r="B264" s="10">
        <v>76.057159999999996</v>
      </c>
      <c r="C264" s="10">
        <v>90.462831600000001</v>
      </c>
      <c r="D264" s="10">
        <v>104.8685033</v>
      </c>
    </row>
    <row r="265" spans="1:4" ht="22.25" customHeight="1">
      <c r="A265" s="9">
        <v>52809</v>
      </c>
      <c r="B265" s="10">
        <v>74.938941400000004</v>
      </c>
      <c r="C265" s="10">
        <v>89.106552899999997</v>
      </c>
      <c r="D265" s="10">
        <v>103.27416439999999</v>
      </c>
    </row>
    <row r="266" spans="1:4" ht="22.25" customHeight="1">
      <c r="A266" s="9">
        <v>52840</v>
      </c>
      <c r="B266" s="10">
        <v>75.22906900000001</v>
      </c>
      <c r="C266" s="10">
        <v>89.47818509999999</v>
      </c>
      <c r="D266" s="10">
        <v>103.72730120000001</v>
      </c>
    </row>
    <row r="267" spans="1:4" ht="22.25" customHeight="1">
      <c r="A267" s="9">
        <v>52870</v>
      </c>
      <c r="B267" s="10">
        <v>75.384891100000004</v>
      </c>
      <c r="C267" s="10">
        <v>89.6786575</v>
      </c>
      <c r="D267" s="10">
        <v>103.9724239</v>
      </c>
    </row>
    <row r="268" spans="1:4" ht="22.25" customHeight="1">
      <c r="A268" s="9">
        <v>52901</v>
      </c>
      <c r="B268" s="10">
        <v>75.757369199999999</v>
      </c>
      <c r="C268" s="10">
        <v>90.125990200000004</v>
      </c>
      <c r="D268" s="10">
        <v>104.4946113</v>
      </c>
    </row>
    <row r="269" spans="1:4" ht="22.25" customHeight="1">
      <c r="A269" s="9">
        <v>52931</v>
      </c>
      <c r="B269" s="10">
        <v>75.295550000000006</v>
      </c>
      <c r="C269" s="10">
        <v>89.553851600000002</v>
      </c>
      <c r="D269" s="10">
        <v>103.81215330000001</v>
      </c>
    </row>
    <row r="270" spans="1:4" ht="22.25" customHeight="1">
      <c r="A270" s="9">
        <v>52962</v>
      </c>
      <c r="B270" s="10">
        <v>74.825448600000001</v>
      </c>
      <c r="C270" s="10">
        <v>89.012688600000004</v>
      </c>
      <c r="D270" s="10">
        <v>103.19992870000002</v>
      </c>
    </row>
    <row r="271" spans="1:4" ht="22.25" customHeight="1">
      <c r="A271" s="9">
        <v>52993</v>
      </c>
      <c r="B271" s="10">
        <v>75.318481899999995</v>
      </c>
      <c r="C271" s="10">
        <v>89.638039399999997</v>
      </c>
      <c r="D271" s="10">
        <v>103.95759700000001</v>
      </c>
    </row>
    <row r="272" spans="1:4" ht="22.25" customHeight="1">
      <c r="A272" s="9">
        <v>53021</v>
      </c>
      <c r="B272" s="10">
        <v>75.457357500000001</v>
      </c>
      <c r="C272" s="10">
        <v>89.789243599999992</v>
      </c>
      <c r="D272" s="10">
        <v>104.12112979999999</v>
      </c>
    </row>
    <row r="273" spans="1:4" ht="22.25" customHeight="1">
      <c r="A273" s="9">
        <v>53052</v>
      </c>
      <c r="B273" s="10">
        <v>76.207894600000003</v>
      </c>
      <c r="C273" s="10">
        <v>90.708656699999992</v>
      </c>
      <c r="D273" s="10">
        <v>105.20941880000001</v>
      </c>
    </row>
    <row r="274" spans="1:4" ht="22.25" customHeight="1">
      <c r="A274" s="9">
        <v>53082</v>
      </c>
      <c r="B274" s="10">
        <v>76.3715397</v>
      </c>
      <c r="C274" s="10">
        <v>90.900458400000005</v>
      </c>
      <c r="D274" s="10">
        <v>105.42937710000001</v>
      </c>
    </row>
    <row r="275" spans="1:4" ht="22.25" customHeight="1">
      <c r="A275" s="9">
        <v>53113</v>
      </c>
      <c r="B275" s="10">
        <v>76.994082599999999</v>
      </c>
      <c r="C275" s="10">
        <v>91.645773399999996</v>
      </c>
      <c r="D275" s="10">
        <v>106.2974643</v>
      </c>
    </row>
    <row r="276" spans="1:4" ht="22.25" customHeight="1">
      <c r="A276" s="9">
        <v>53143</v>
      </c>
      <c r="B276" s="10">
        <v>76.926795999999996</v>
      </c>
      <c r="C276" s="10">
        <v>91.539473399999991</v>
      </c>
      <c r="D276" s="10">
        <v>106.15215069999999</v>
      </c>
    </row>
    <row r="277" spans="1:4" ht="22.25" customHeight="1">
      <c r="A277" s="9">
        <v>53174</v>
      </c>
      <c r="B277" s="10">
        <v>76.379459499999996</v>
      </c>
      <c r="C277" s="10">
        <v>90.849843800000002</v>
      </c>
      <c r="D277" s="10">
        <v>105.320228</v>
      </c>
    </row>
    <row r="278" spans="1:4" ht="22.25" customHeight="1">
      <c r="A278" s="9">
        <v>53205</v>
      </c>
      <c r="B278" s="10">
        <v>76.579023700000008</v>
      </c>
      <c r="C278" s="10">
        <v>91.091338900000011</v>
      </c>
      <c r="D278" s="10">
        <v>105.6036541</v>
      </c>
    </row>
    <row r="279" spans="1:4" ht="22.25" customHeight="1">
      <c r="A279" s="9">
        <v>53235</v>
      </c>
      <c r="B279" s="10">
        <v>76.759867</v>
      </c>
      <c r="C279" s="10">
        <v>91.32759519999999</v>
      </c>
      <c r="D279" s="10">
        <v>105.89532349999999</v>
      </c>
    </row>
    <row r="280" spans="1:4" ht="22.25" customHeight="1">
      <c r="A280" s="9">
        <v>53266</v>
      </c>
      <c r="B280" s="10">
        <v>77.047402699999992</v>
      </c>
      <c r="C280" s="10">
        <v>91.701507399999997</v>
      </c>
      <c r="D280" s="10">
        <v>106.3556122</v>
      </c>
    </row>
    <row r="281" spans="1:4" ht="22.25" customHeight="1">
      <c r="A281" s="9">
        <v>53296</v>
      </c>
      <c r="B281" s="10">
        <v>76.329926400000005</v>
      </c>
      <c r="C281" s="10">
        <v>90.856364299999996</v>
      </c>
      <c r="D281" s="10">
        <v>105.38280230000001</v>
      </c>
    </row>
    <row r="282" spans="1:4" ht="22.25" customHeight="1">
      <c r="A282" s="9">
        <v>53327</v>
      </c>
      <c r="B282" s="10">
        <v>76.200444099999999</v>
      </c>
      <c r="C282" s="10">
        <v>90.66293859999999</v>
      </c>
      <c r="D282" s="10">
        <v>105.12543310000001</v>
      </c>
    </row>
    <row r="283" spans="1:4" ht="22.25" customHeight="1">
      <c r="A283" s="9">
        <v>53358</v>
      </c>
      <c r="B283" s="10">
        <v>76.512879099999992</v>
      </c>
      <c r="C283" s="10">
        <v>91.055752399999989</v>
      </c>
      <c r="D283" s="10">
        <v>105.5986257</v>
      </c>
    </row>
    <row r="284" spans="1:4" ht="22.25" customHeight="1">
      <c r="A284" s="9">
        <v>53386</v>
      </c>
      <c r="B284" s="10">
        <v>76.481531799999999</v>
      </c>
      <c r="C284" s="10">
        <v>91.046869200000003</v>
      </c>
      <c r="D284" s="10">
        <v>105.61220659999999</v>
      </c>
    </row>
    <row r="285" spans="1:4" ht="22.25" customHeight="1">
      <c r="A285" s="9">
        <v>53417</v>
      </c>
      <c r="B285" s="10">
        <v>77.322470199999998</v>
      </c>
      <c r="C285" s="10">
        <v>92.084744000000001</v>
      </c>
      <c r="D285" s="10">
        <v>106.8470178</v>
      </c>
    </row>
    <row r="286" spans="1:4" ht="22.25" customHeight="1">
      <c r="A286" s="9">
        <v>53447</v>
      </c>
      <c r="B286" s="10">
        <v>77.355132100000006</v>
      </c>
      <c r="C286" s="10">
        <v>92.159615299999999</v>
      </c>
      <c r="D286" s="10">
        <v>106.96409839999998</v>
      </c>
    </row>
    <row r="287" spans="1:4" ht="22.25" customHeight="1">
      <c r="A287" s="9">
        <v>53478</v>
      </c>
      <c r="B287" s="10">
        <v>77.489264899999995</v>
      </c>
      <c r="C287" s="10">
        <v>92.329073300000005</v>
      </c>
      <c r="D287" s="10">
        <v>107.1688817</v>
      </c>
    </row>
    <row r="288" spans="1:4" ht="22.25" customHeight="1">
      <c r="A288" s="9">
        <v>53508</v>
      </c>
      <c r="B288" s="10">
        <v>77.089323899999997</v>
      </c>
      <c r="C288" s="10">
        <v>91.842501400000003</v>
      </c>
      <c r="D288" s="10">
        <v>106.59567890000001</v>
      </c>
    </row>
    <row r="289" spans="1:4" ht="22.25" customHeight="1">
      <c r="A289" s="9">
        <v>53539</v>
      </c>
      <c r="B289" s="10">
        <v>76.852186500000002</v>
      </c>
      <c r="C289" s="10">
        <v>91.548056399999993</v>
      </c>
      <c r="D289" s="10">
        <v>106.2439263</v>
      </c>
    </row>
    <row r="290" spans="1:4" ht="22.25" customHeight="1">
      <c r="A290" s="9">
        <v>53570</v>
      </c>
      <c r="B290" s="10">
        <v>76.801341100000002</v>
      </c>
      <c r="C290" s="10">
        <v>91.4874619</v>
      </c>
      <c r="D290" s="10">
        <v>106.1735826</v>
      </c>
    </row>
    <row r="291" spans="1:4" ht="22.25" customHeight="1">
      <c r="A291" s="9">
        <v>53600</v>
      </c>
      <c r="B291" s="10">
        <v>77.019556300000005</v>
      </c>
      <c r="C291" s="10">
        <v>91.760881400000002</v>
      </c>
      <c r="D291" s="10">
        <v>106.50220650000001</v>
      </c>
    </row>
    <row r="292" spans="1:4" ht="22.25" customHeight="1">
      <c r="A292" s="9">
        <v>53631</v>
      </c>
      <c r="B292" s="10">
        <v>77.313458300000008</v>
      </c>
      <c r="C292" s="10">
        <v>92.141063500000001</v>
      </c>
      <c r="D292" s="10">
        <v>106.9686686</v>
      </c>
    </row>
    <row r="293" spans="1:4" ht="22.25" customHeight="1">
      <c r="A293" s="9">
        <v>53661</v>
      </c>
      <c r="B293" s="10">
        <v>76.758665699999995</v>
      </c>
      <c r="C293" s="10">
        <v>91.429844200000005</v>
      </c>
      <c r="D293" s="10">
        <v>106.10102260000001</v>
      </c>
    </row>
    <row r="294" spans="1:4" ht="22.25" customHeight="1">
      <c r="A294" s="9">
        <v>53692</v>
      </c>
      <c r="B294" s="10">
        <v>76.524226099999993</v>
      </c>
      <c r="C294" s="10">
        <v>91.127181100000001</v>
      </c>
      <c r="D294" s="10">
        <v>105.73013610000001</v>
      </c>
    </row>
    <row r="295" spans="1:4" ht="22.25" customHeight="1">
      <c r="A295" s="9">
        <v>53723</v>
      </c>
      <c r="B295" s="10">
        <v>76.705913499999994</v>
      </c>
      <c r="C295" s="10">
        <v>91.348851699999997</v>
      </c>
      <c r="D295" s="10">
        <v>105.99178979999999</v>
      </c>
    </row>
    <row r="296" spans="1:4" ht="22.25" customHeight="1">
      <c r="A296" s="9">
        <v>53751</v>
      </c>
      <c r="B296" s="10">
        <v>77.045116499999992</v>
      </c>
      <c r="C296" s="10">
        <v>91.733216300000009</v>
      </c>
      <c r="D296" s="10">
        <v>106.42131609999998</v>
      </c>
    </row>
    <row r="297" spans="1:4" ht="22.25" customHeight="1">
      <c r="A297" s="9">
        <v>53782</v>
      </c>
      <c r="B297" s="10">
        <v>77.993342200000001</v>
      </c>
      <c r="C297" s="10">
        <v>92.91738860000001</v>
      </c>
      <c r="D297" s="10">
        <v>107.841435</v>
      </c>
    </row>
    <row r="298" spans="1:4" ht="22.25" customHeight="1">
      <c r="A298" s="9">
        <v>53812</v>
      </c>
      <c r="B298" s="10">
        <v>78.186565900000005</v>
      </c>
      <c r="C298" s="10">
        <v>93.176162399999996</v>
      </c>
      <c r="D298" s="10">
        <v>108.16575889999999</v>
      </c>
    </row>
    <row r="299" spans="1:4" ht="22.25" customHeight="1">
      <c r="A299" s="9">
        <v>53843</v>
      </c>
      <c r="B299" s="10">
        <v>77.957949299999996</v>
      </c>
      <c r="C299" s="10">
        <v>92.905947100000006</v>
      </c>
      <c r="D299" s="10">
        <v>107.853945</v>
      </c>
    </row>
    <row r="300" spans="1:4" ht="22.25" customHeight="1">
      <c r="A300" s="9">
        <v>53873</v>
      </c>
      <c r="B300" s="10">
        <v>77.43759159999999</v>
      </c>
      <c r="C300" s="10">
        <v>92.264835200000007</v>
      </c>
      <c r="D300" s="10">
        <v>107.0920789</v>
      </c>
    </row>
    <row r="301" spans="1:4" ht="22.25" customHeight="1">
      <c r="A301" s="9">
        <v>53904</v>
      </c>
      <c r="B301" s="10">
        <v>77.721029099999996</v>
      </c>
      <c r="C301" s="10">
        <v>92.587439900000007</v>
      </c>
      <c r="D301" s="10">
        <v>107.45385060000001</v>
      </c>
    </row>
    <row r="302" spans="1:4" ht="22.25" customHeight="1">
      <c r="A302" s="9">
        <v>53935</v>
      </c>
      <c r="B302" s="10">
        <v>77.514353200000002</v>
      </c>
      <c r="C302" s="10">
        <v>92.329604700000004</v>
      </c>
      <c r="D302" s="10">
        <v>107.14485629999999</v>
      </c>
    </row>
    <row r="303" spans="1:4" ht="22.25" customHeight="1">
      <c r="A303" s="9">
        <v>53965</v>
      </c>
      <c r="B303" s="10">
        <v>77.875782799999996</v>
      </c>
      <c r="C303" s="10">
        <v>92.757411300000001</v>
      </c>
      <c r="D303" s="10">
        <v>107.63903989999999</v>
      </c>
    </row>
    <row r="304" spans="1:4" ht="22.25" customHeight="1">
      <c r="A304" s="9">
        <v>53996</v>
      </c>
      <c r="B304" s="10">
        <v>78.329284800000011</v>
      </c>
      <c r="C304" s="10">
        <v>93.307831100000001</v>
      </c>
      <c r="D304" s="10">
        <v>108.28637739999999</v>
      </c>
    </row>
    <row r="305" spans="1:4" ht="22.25" customHeight="1">
      <c r="A305" s="9">
        <v>54026</v>
      </c>
      <c r="B305" s="10">
        <v>77.65039440000001</v>
      </c>
      <c r="C305" s="10">
        <v>92.454723400000006</v>
      </c>
      <c r="D305" s="10">
        <v>107.25905250000001</v>
      </c>
    </row>
    <row r="306" spans="1:4" ht="22.25" customHeight="1">
      <c r="A306" s="9">
        <v>54057</v>
      </c>
      <c r="B306" s="10">
        <v>77.429582199999999</v>
      </c>
      <c r="C306" s="10">
        <v>92.172379199999995</v>
      </c>
      <c r="D306" s="10">
        <v>106.91517619999999</v>
      </c>
    </row>
    <row r="307" spans="1:4" ht="22.25" customHeight="1">
      <c r="A307" s="9">
        <v>54088</v>
      </c>
      <c r="B307" s="10">
        <v>77.449840800000004</v>
      </c>
      <c r="C307" s="10">
        <v>92.1926275</v>
      </c>
      <c r="D307" s="10">
        <v>106.9354142</v>
      </c>
    </row>
    <row r="308" spans="1:4" ht="22.25" customHeight="1">
      <c r="A308" s="9">
        <v>54117</v>
      </c>
      <c r="B308" s="10">
        <v>78.063539399999996</v>
      </c>
      <c r="C308" s="10">
        <v>92.923383299999998</v>
      </c>
      <c r="D308" s="10">
        <v>107.7832271</v>
      </c>
    </row>
    <row r="309" spans="1:4" ht="22.25" customHeight="1">
      <c r="A309" s="9">
        <v>54148</v>
      </c>
      <c r="B309" s="10">
        <v>78.532925199999994</v>
      </c>
      <c r="C309" s="10">
        <v>93.511047499999989</v>
      </c>
      <c r="D309" s="10">
        <v>108.48916990000001</v>
      </c>
    </row>
    <row r="310" spans="1:4" ht="22.25" customHeight="1">
      <c r="A310" s="9">
        <v>54178</v>
      </c>
      <c r="B310" s="10">
        <v>78.602397299999993</v>
      </c>
      <c r="C310" s="10">
        <v>93.570386599999992</v>
      </c>
      <c r="D310" s="10">
        <v>108.538376</v>
      </c>
    </row>
    <row r="311" spans="1:4" ht="22.25" customHeight="1">
      <c r="A311" s="9">
        <v>54209</v>
      </c>
      <c r="B311" s="10">
        <v>79.24173429999999</v>
      </c>
      <c r="C311" s="10">
        <v>94.39683149999999</v>
      </c>
      <c r="D311" s="10">
        <v>109.5519288</v>
      </c>
    </row>
    <row r="312" spans="1:4" ht="22.25" customHeight="1">
      <c r="A312" s="9">
        <v>54239</v>
      </c>
      <c r="B312" s="10">
        <v>79.015965100000003</v>
      </c>
      <c r="C312" s="10">
        <v>94.1595753</v>
      </c>
      <c r="D312" s="10">
        <v>109.3031854</v>
      </c>
    </row>
    <row r="313" spans="1:4" ht="22.25" customHeight="1">
      <c r="A313" s="9">
        <v>54270</v>
      </c>
      <c r="B313" s="10">
        <v>78.004557199999994</v>
      </c>
      <c r="C313" s="10">
        <v>92.898926299999999</v>
      </c>
      <c r="D313" s="10">
        <v>107.7932953</v>
      </c>
    </row>
    <row r="314" spans="1:4" ht="22.25" customHeight="1">
      <c r="A314" s="9">
        <v>54301</v>
      </c>
      <c r="B314" s="10">
        <v>78.236866599999999</v>
      </c>
      <c r="C314" s="10">
        <v>93.2015593</v>
      </c>
      <c r="D314" s="10">
        <v>108.16625209999999</v>
      </c>
    </row>
    <row r="315" spans="1:4" ht="22.25" customHeight="1">
      <c r="A315" s="9">
        <v>54331</v>
      </c>
      <c r="B315" s="10">
        <v>78.342280299999999</v>
      </c>
      <c r="C315" s="10">
        <v>93.340442499999995</v>
      </c>
      <c r="D315" s="10">
        <v>108.33860469999999</v>
      </c>
    </row>
    <row r="316" spans="1:4" ht="22.25" customHeight="1">
      <c r="A316" s="9">
        <v>54362</v>
      </c>
      <c r="B316" s="10">
        <v>78.555934300000004</v>
      </c>
      <c r="C316" s="10">
        <v>93.617770299999989</v>
      </c>
      <c r="D316" s="10">
        <v>108.67960619999999</v>
      </c>
    </row>
    <row r="317" spans="1:4" ht="22.25" customHeight="1">
      <c r="A317" s="9">
        <v>54392</v>
      </c>
      <c r="B317" s="10">
        <v>77.976127599999998</v>
      </c>
      <c r="C317" s="10">
        <v>92.916463300000004</v>
      </c>
      <c r="D317" s="10">
        <v>107.856799</v>
      </c>
    </row>
    <row r="318" spans="1:4" ht="22.25" customHeight="1">
      <c r="A318" s="9">
        <v>54423</v>
      </c>
      <c r="B318" s="10">
        <v>77.504324299999993</v>
      </c>
      <c r="C318" s="10">
        <v>92.362417600000001</v>
      </c>
      <c r="D318" s="10">
        <v>107.22051080000001</v>
      </c>
    </row>
    <row r="319" spans="1:4" ht="22.25" customHeight="1">
      <c r="A319" s="9">
        <v>54454</v>
      </c>
      <c r="B319" s="10">
        <v>78.001114099999995</v>
      </c>
      <c r="C319" s="10">
        <v>92.9803438</v>
      </c>
      <c r="D319" s="10">
        <v>107.9595736</v>
      </c>
    </row>
    <row r="320" spans="1:4" ht="22.25" customHeight="1">
      <c r="A320" s="9">
        <v>54482</v>
      </c>
      <c r="B320" s="10">
        <v>77.998967800000003</v>
      </c>
      <c r="C320" s="10">
        <v>92.9793454</v>
      </c>
      <c r="D320" s="10">
        <v>107.9597229</v>
      </c>
    </row>
    <row r="321" spans="1:4" ht="22.25" customHeight="1">
      <c r="A321" s="9">
        <v>54513</v>
      </c>
      <c r="B321" s="10">
        <v>78.637537699999996</v>
      </c>
      <c r="C321" s="10">
        <v>93.775610300000011</v>
      </c>
      <c r="D321" s="10">
        <v>108.9136829</v>
      </c>
    </row>
    <row r="322" spans="1:4" ht="22.25" customHeight="1">
      <c r="A322" s="9">
        <v>54543</v>
      </c>
      <c r="B322" s="10">
        <v>78.6621253</v>
      </c>
      <c r="C322" s="10">
        <v>93.817173699999998</v>
      </c>
      <c r="D322" s="10">
        <v>108.97222200000002</v>
      </c>
    </row>
    <row r="323" spans="1:4" ht="22.25" customHeight="1">
      <c r="A323" s="9">
        <v>54574</v>
      </c>
      <c r="B323" s="10">
        <v>79.2648133</v>
      </c>
      <c r="C323" s="10">
        <v>94.531452799999997</v>
      </c>
      <c r="D323" s="10">
        <v>109.7980924</v>
      </c>
    </row>
    <row r="324" spans="1:4" ht="22.25" customHeight="1">
      <c r="A324" s="9">
        <v>54604</v>
      </c>
      <c r="B324" s="10">
        <v>78.920033700000005</v>
      </c>
      <c r="C324" s="10">
        <v>94.136478799999992</v>
      </c>
      <c r="D324" s="10">
        <v>109.352924</v>
      </c>
    </row>
    <row r="325" spans="1:4" ht="22.25" customHeight="1">
      <c r="A325" s="9">
        <v>54635</v>
      </c>
      <c r="B325" s="10">
        <v>78.1017796</v>
      </c>
      <c r="C325" s="10">
        <v>93.164750800000007</v>
      </c>
      <c r="D325" s="10">
        <v>108.227722</v>
      </c>
    </row>
    <row r="326" spans="1:4" ht="22.25" customHeight="1">
      <c r="A326" s="9">
        <v>54666</v>
      </c>
      <c r="B326" s="10">
        <v>78.237145400000003</v>
      </c>
      <c r="C326" s="10">
        <v>93.330866600000007</v>
      </c>
      <c r="D326" s="10">
        <v>108.4245878</v>
      </c>
    </row>
    <row r="327" spans="1:4" ht="22.25" customHeight="1">
      <c r="A327" s="9">
        <v>54696</v>
      </c>
      <c r="B327" s="10">
        <v>78.410069100000001</v>
      </c>
      <c r="C327" s="10">
        <v>93.548022500000002</v>
      </c>
      <c r="D327" s="10">
        <v>108.68597589999999</v>
      </c>
    </row>
    <row r="328" spans="1:4" ht="22.25" customHeight="1">
      <c r="A328" s="9">
        <v>54727</v>
      </c>
      <c r="B328" s="10">
        <v>78.744906600000007</v>
      </c>
      <c r="C328" s="10">
        <v>93.958055700000003</v>
      </c>
      <c r="D328" s="10">
        <v>109.1712047</v>
      </c>
    </row>
    <row r="329" spans="1:4" ht="22.25" customHeight="1">
      <c r="A329" s="9">
        <v>54757</v>
      </c>
      <c r="B329" s="10">
        <v>78.226053699999994</v>
      </c>
      <c r="C329" s="10">
        <v>93.300354999999996</v>
      </c>
      <c r="D329" s="10">
        <v>108.3746563</v>
      </c>
    </row>
    <row r="330" spans="1:4" ht="22.25" customHeight="1">
      <c r="A330" s="9">
        <v>54788</v>
      </c>
      <c r="B330" s="10">
        <v>77.993784599999998</v>
      </c>
      <c r="C330" s="10">
        <v>92.992961600000001</v>
      </c>
      <c r="D330" s="10">
        <v>107.9921386</v>
      </c>
    </row>
    <row r="331" spans="1:4" ht="22.25" customHeight="1">
      <c r="A331" s="9">
        <v>54819</v>
      </c>
      <c r="B331" s="10">
        <v>78.297549200000006</v>
      </c>
      <c r="C331" s="10">
        <v>93.377105</v>
      </c>
      <c r="D331" s="10">
        <v>108.45666080000001</v>
      </c>
    </row>
    <row r="332" spans="1:4" ht="22.25" customHeight="1">
      <c r="A332" s="9">
        <v>54847</v>
      </c>
      <c r="B332" s="10">
        <v>78.391854499999994</v>
      </c>
      <c r="C332" s="10">
        <v>93.49387440000001</v>
      </c>
      <c r="D332" s="10">
        <v>108.59589430000001</v>
      </c>
    </row>
    <row r="333" spans="1:4" ht="22.25" customHeight="1">
      <c r="A333" s="9">
        <v>54878</v>
      </c>
      <c r="B333" s="10">
        <v>79.198253800000003</v>
      </c>
      <c r="C333" s="10">
        <v>94.49721009999999</v>
      </c>
      <c r="D333" s="10">
        <v>109.79616639999999</v>
      </c>
    </row>
    <row r="334" spans="1:4" ht="22.25" customHeight="1">
      <c r="A334" s="9">
        <v>54908</v>
      </c>
      <c r="B334" s="10">
        <v>79.416671499999993</v>
      </c>
      <c r="C334" s="10">
        <v>94.757837199999997</v>
      </c>
      <c r="D334" s="10">
        <v>110.09900279999999</v>
      </c>
    </row>
    <row r="335" spans="1:4" ht="22.25" customHeight="1">
      <c r="A335" s="9">
        <v>54939</v>
      </c>
      <c r="B335" s="10">
        <v>79.705456699999999</v>
      </c>
      <c r="C335" s="10">
        <v>95.081947600000007</v>
      </c>
      <c r="D335" s="10">
        <v>110.45843850000001</v>
      </c>
    </row>
    <row r="336" spans="1:4" ht="22.25" customHeight="1">
      <c r="A336" s="9">
        <v>54969</v>
      </c>
      <c r="B336" s="10">
        <v>79.284079800000001</v>
      </c>
      <c r="C336" s="10">
        <v>94.573939800000005</v>
      </c>
      <c r="D336" s="10">
        <v>109.8637998</v>
      </c>
    </row>
    <row r="337" spans="1:4" ht="22.25" customHeight="1">
      <c r="A337" s="9">
        <v>55000</v>
      </c>
      <c r="B337" s="10">
        <v>79.073129300000005</v>
      </c>
      <c r="C337" s="10">
        <v>94.305681800000002</v>
      </c>
      <c r="D337" s="10">
        <v>109.53823420000001</v>
      </c>
    </row>
    <row r="338" spans="1:4" ht="22.25" customHeight="1">
      <c r="A338" s="9">
        <v>55031</v>
      </c>
      <c r="B338" s="10">
        <v>79.079757499999999</v>
      </c>
      <c r="C338" s="10">
        <v>94.302560700000001</v>
      </c>
      <c r="D338" s="10">
        <v>109.525364</v>
      </c>
    </row>
    <row r="339" spans="1:4" ht="22.25" customHeight="1">
      <c r="A339" s="9">
        <v>55061</v>
      </c>
      <c r="B339" s="10">
        <v>79.290083699999997</v>
      </c>
      <c r="C339" s="10">
        <v>94.5680914</v>
      </c>
      <c r="D339" s="10">
        <v>109.84609900000001</v>
      </c>
    </row>
    <row r="340" spans="1:4" ht="22.25" customHeight="1">
      <c r="A340" s="9">
        <v>55092</v>
      </c>
      <c r="B340" s="10">
        <v>79.703160699999998</v>
      </c>
      <c r="C340" s="10">
        <v>95.067448299999995</v>
      </c>
      <c r="D340" s="10">
        <v>110.431736</v>
      </c>
    </row>
    <row r="341" spans="1:4" ht="22.25" customHeight="1">
      <c r="A341" s="9">
        <v>55122</v>
      </c>
      <c r="B341" s="10">
        <v>78.951446699999991</v>
      </c>
      <c r="C341" s="10">
        <v>94.159307600000005</v>
      </c>
      <c r="D341" s="10">
        <v>109.36716859999999</v>
      </c>
    </row>
    <row r="342" spans="1:4" ht="22.25" customHeight="1">
      <c r="A342" s="9">
        <v>55153</v>
      </c>
      <c r="B342" s="10">
        <v>78.573406300000002</v>
      </c>
      <c r="C342" s="10">
        <v>93.713043900000002</v>
      </c>
      <c r="D342" s="10">
        <v>108.85268140000001</v>
      </c>
    </row>
    <row r="343" spans="1:4" ht="4.5" customHeight="1"/>
    <row r="344" spans="1:4" ht="4.5" customHeight="1"/>
    <row r="345" spans="1:4" ht="4.5" customHeight="1"/>
    <row r="346" spans="1:4" ht="4.5" customHeight="1"/>
    <row r="347" spans="1:4" ht="4.5" customHeight="1"/>
    <row r="348" spans="1:4" ht="4.5" customHeight="1"/>
    <row r="349" spans="1:4" ht="4.5" customHeight="1"/>
    <row r="350" spans="1:4" ht="4.5" customHeight="1"/>
    <row r="351" spans="1:4" ht="4.5" customHeight="1"/>
    <row r="352" spans="1:4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0"/>
  <sheetViews>
    <sheetView topLeftCell="A25" workbookViewId="0">
      <selection activeCell="E64" sqref="E64"/>
    </sheetView>
  </sheetViews>
  <sheetFormatPr defaultRowHeight="13.5"/>
  <cols>
    <col min="1" max="1" width="12" customWidth="1"/>
    <col min="2" max="10" width="18" customWidth="1"/>
  </cols>
  <sheetData>
    <row r="1" spans="1:10" ht="36.85" customHeight="1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6.85" customHeight="1">
      <c r="A2" s="15" t="s">
        <v>372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6.85" customHeight="1"/>
    <row r="4" spans="1:10" ht="36.85" customHeight="1">
      <c r="A4" s="3" t="s">
        <v>373</v>
      </c>
      <c r="B4" s="3" t="s">
        <v>374</v>
      </c>
      <c r="C4" s="3" t="s">
        <v>375</v>
      </c>
      <c r="D4" s="3" t="s">
        <v>376</v>
      </c>
      <c r="E4" s="3" t="s">
        <v>377</v>
      </c>
      <c r="F4" s="3" t="s">
        <v>378</v>
      </c>
      <c r="G4" s="3" t="s">
        <v>379</v>
      </c>
      <c r="H4" s="3" t="s">
        <v>380</v>
      </c>
      <c r="I4" s="3" t="s">
        <v>381</v>
      </c>
      <c r="J4" s="3" t="s">
        <v>382</v>
      </c>
    </row>
    <row r="5" spans="1:10" ht="36.85" customHeight="1">
      <c r="A5" s="2">
        <v>2026</v>
      </c>
      <c r="B5" s="11">
        <v>1.6639414364111786</v>
      </c>
      <c r="C5" s="11">
        <v>2.3224294741503115</v>
      </c>
      <c r="D5" s="11">
        <v>4.2538385441300486</v>
      </c>
      <c r="E5" s="11">
        <v>3.9356245399895249</v>
      </c>
      <c r="F5" s="11">
        <v>4.6294924482407049</v>
      </c>
      <c r="G5" s="11">
        <v>6.6646740985641806</v>
      </c>
      <c r="H5" s="11">
        <v>12.465510512526244</v>
      </c>
      <c r="I5" s="11">
        <v>13.183669078143902</v>
      </c>
      <c r="J5" s="11">
        <v>15.290097574673528</v>
      </c>
    </row>
    <row r="6" spans="1:10" ht="36.85" customHeight="1">
      <c r="A6" s="2">
        <v>2027</v>
      </c>
      <c r="B6" s="11">
        <v>3.1618902060082568</v>
      </c>
      <c r="C6" s="11">
        <v>4.0810732662759222</v>
      </c>
      <c r="D6" s="11">
        <v>6.8822540641069629</v>
      </c>
      <c r="E6" s="11">
        <v>7.6505800237945802</v>
      </c>
      <c r="F6" s="11">
        <v>8.6191498242690905</v>
      </c>
      <c r="G6" s="11">
        <v>11.570835123667637</v>
      </c>
      <c r="H6" s="11">
        <v>24.526662266216789</v>
      </c>
      <c r="I6" s="11">
        <v>25.529139380863157</v>
      </c>
      <c r="J6" s="11">
        <v>28.584156129099096</v>
      </c>
    </row>
    <row r="7" spans="1:10" ht="36.85" customHeight="1">
      <c r="A7" s="2">
        <v>2028</v>
      </c>
      <c r="B7" s="11">
        <v>3.9845147245835344</v>
      </c>
      <c r="C7" s="11">
        <v>5.1676580174348432</v>
      </c>
      <c r="D7" s="11">
        <v>8.8464510087415817</v>
      </c>
      <c r="E7" s="11">
        <v>9.6449717982676884</v>
      </c>
      <c r="F7" s="11">
        <v>10.891684137326727</v>
      </c>
      <c r="G7" s="11">
        <v>14.76813481140616</v>
      </c>
      <c r="H7" s="11">
        <v>30.927013314619465</v>
      </c>
      <c r="I7" s="11">
        <v>32.217370073462916</v>
      </c>
      <c r="J7" s="11">
        <v>36.229526022281817</v>
      </c>
    </row>
    <row r="8" spans="1:10" ht="36.85" customHeight="1">
      <c r="A8" s="2">
        <v>2029</v>
      </c>
      <c r="B8" s="11">
        <v>4.3026295372478849</v>
      </c>
      <c r="C8" s="11">
        <v>5.7390162445732917</v>
      </c>
      <c r="D8" s="11">
        <v>10.268245839836094</v>
      </c>
      <c r="E8" s="11">
        <v>13.009028210376801</v>
      </c>
      <c r="F8" s="11">
        <v>14.522590466532041</v>
      </c>
      <c r="G8" s="11">
        <v>19.295170809896373</v>
      </c>
      <c r="H8" s="11">
        <v>41.840466419835209</v>
      </c>
      <c r="I8" s="11">
        <v>43.407014873694514</v>
      </c>
      <c r="J8" s="11">
        <v>48.346671850083773</v>
      </c>
    </row>
    <row r="9" spans="1:10" ht="36.85" customHeight="1">
      <c r="A9" s="2">
        <v>2030</v>
      </c>
      <c r="B9" s="11">
        <v>4.3851153854634779</v>
      </c>
      <c r="C9" s="11">
        <v>6.0857685002166741</v>
      </c>
      <c r="D9" s="11">
        <v>11.494712620554354</v>
      </c>
      <c r="E9" s="11">
        <v>19.615179862159096</v>
      </c>
      <c r="F9" s="11">
        <v>21.407207282195742</v>
      </c>
      <c r="G9" s="11">
        <v>27.106768287908416</v>
      </c>
      <c r="H9" s="11">
        <v>63.40624605212745</v>
      </c>
      <c r="I9" s="11">
        <v>65.261008069821401</v>
      </c>
      <c r="J9" s="11">
        <v>71.160097086388546</v>
      </c>
    </row>
    <row r="10" spans="1:10" ht="36.85" customHeight="1">
      <c r="A10" s="2">
        <v>2031</v>
      </c>
      <c r="B10" s="11">
        <v>4.4312317960597074</v>
      </c>
      <c r="C10" s="11">
        <v>6.3518582224628792</v>
      </c>
      <c r="D10" s="11">
        <v>12.498042862073566</v>
      </c>
      <c r="E10" s="11">
        <v>19.752523990603446</v>
      </c>
      <c r="F10" s="11">
        <v>21.776343657238385</v>
      </c>
      <c r="G10" s="11">
        <v>28.252756340837777</v>
      </c>
      <c r="H10" s="11">
        <v>68.77953239959173</v>
      </c>
      <c r="I10" s="11">
        <v>70.874201156535051</v>
      </c>
      <c r="J10" s="11">
        <v>77.577337571828181</v>
      </c>
    </row>
    <row r="11" spans="1:10" ht="36.85" customHeight="1">
      <c r="A11" s="2">
        <v>2032</v>
      </c>
      <c r="B11" s="11">
        <v>4.4599440879625902</v>
      </c>
      <c r="C11" s="11">
        <v>6.5810909789021164</v>
      </c>
      <c r="D11" s="11">
        <v>13.391949038523563</v>
      </c>
      <c r="E11" s="11">
        <v>19.983286697079034</v>
      </c>
      <c r="F11" s="11">
        <v>22.218400582158857</v>
      </c>
      <c r="G11" s="11">
        <v>29.395198890372637</v>
      </c>
      <c r="H11" s="11">
        <v>99.0308241689455</v>
      </c>
      <c r="I11" s="11">
        <v>101.34418405000224</v>
      </c>
      <c r="J11" s="11">
        <v>108.77222491695106</v>
      </c>
    </row>
    <row r="12" spans="1:10" ht="36.85" customHeight="1">
      <c r="A12" s="2">
        <v>2033</v>
      </c>
      <c r="B12" s="11">
        <v>4.5821476996251347</v>
      </c>
      <c r="C12" s="11">
        <v>6.8983183907333823</v>
      </c>
      <c r="D12" s="11">
        <v>14.361532849733596</v>
      </c>
      <c r="E12" s="11">
        <v>19.848020256175552</v>
      </c>
      <c r="F12" s="11">
        <v>22.288636365330511</v>
      </c>
      <c r="G12" s="11">
        <v>30.152841496947421</v>
      </c>
      <c r="H12" s="11">
        <v>98.83812277403004</v>
      </c>
      <c r="I12" s="11">
        <v>101.36417902094841</v>
      </c>
      <c r="J12" s="11">
        <v>109.50369118152602</v>
      </c>
    </row>
    <row r="13" spans="1:10" ht="36.85" customHeight="1">
      <c r="A13" s="2">
        <v>2034</v>
      </c>
      <c r="B13" s="11">
        <v>4.4198773077490374</v>
      </c>
      <c r="C13" s="11">
        <v>6.9369401083241611</v>
      </c>
      <c r="D13" s="11">
        <v>15.067474455497866</v>
      </c>
      <c r="E13" s="11">
        <v>20.078905025463154</v>
      </c>
      <c r="F13" s="11">
        <v>22.731206966085217</v>
      </c>
      <c r="G13" s="11">
        <v>31.298586382433456</v>
      </c>
      <c r="H13" s="11">
        <v>96.453249419080166</v>
      </c>
      <c r="I13" s="11">
        <v>99.198402112570292</v>
      </c>
      <c r="J13" s="11">
        <v>108.06570500924731</v>
      </c>
    </row>
    <row r="14" spans="1:10" ht="36.85" customHeight="1">
      <c r="A14" s="2">
        <v>2035</v>
      </c>
      <c r="B14" s="11">
        <v>4.5832656109222674</v>
      </c>
      <c r="C14" s="11">
        <v>7.2968441194640894</v>
      </c>
      <c r="D14" s="11">
        <v>16.082514926382661</v>
      </c>
      <c r="E14" s="11">
        <v>20.990921906109282</v>
      </c>
      <c r="F14" s="11">
        <v>23.850298137243165</v>
      </c>
      <c r="G14" s="11">
        <v>33.108013807083587</v>
      </c>
      <c r="H14" s="11">
        <v>97.668054645573292</v>
      </c>
      <c r="I14" s="11">
        <v>100.62753080565096</v>
      </c>
      <c r="J14" s="11">
        <v>110.20933697839297</v>
      </c>
    </row>
    <row r="15" spans="1:10" ht="36.85" customHeight="1">
      <c r="A15" s="2">
        <v>2036</v>
      </c>
      <c r="B15" s="11">
        <v>4.596344161478549</v>
      </c>
      <c r="C15" s="11">
        <v>7.4571008516746371</v>
      </c>
      <c r="D15" s="11">
        <v>16.735551872616803</v>
      </c>
      <c r="E15" s="11">
        <v>21.506443362427007</v>
      </c>
      <c r="F15" s="11">
        <v>24.520905504301634</v>
      </c>
      <c r="G15" s="11">
        <v>34.297877951389054</v>
      </c>
      <c r="H15" s="11">
        <v>97.974519044026707</v>
      </c>
      <c r="I15" s="11">
        <v>101.09451030197913</v>
      </c>
      <c r="J15" s="11">
        <v>111.21375119089763</v>
      </c>
    </row>
    <row r="16" spans="1:10" ht="36.85" customHeight="1">
      <c r="A16" s="2">
        <v>2037</v>
      </c>
      <c r="B16" s="11">
        <v>4.7779511979692311</v>
      </c>
      <c r="C16" s="11">
        <v>7.7488241085374554</v>
      </c>
      <c r="D16" s="11">
        <v>17.400061683242871</v>
      </c>
      <c r="E16" s="11">
        <v>21.860044133740232</v>
      </c>
      <c r="F16" s="11">
        <v>24.990538924828162</v>
      </c>
      <c r="G16" s="11">
        <v>35.160327355592322</v>
      </c>
      <c r="H16" s="11">
        <v>98.205060143673776</v>
      </c>
      <c r="I16" s="11">
        <v>101.44514607661107</v>
      </c>
      <c r="J16" s="11">
        <v>111.97095449810213</v>
      </c>
    </row>
    <row r="17" spans="1:10" ht="36.85" customHeight="1">
      <c r="A17" s="2">
        <v>2038</v>
      </c>
      <c r="B17" s="11">
        <v>4.8421891766874197</v>
      </c>
      <c r="C17" s="11">
        <v>7.9262324808358642</v>
      </c>
      <c r="D17" s="11">
        <v>17.95738736132677</v>
      </c>
      <c r="E17" s="11">
        <v>22.101935894211032</v>
      </c>
      <c r="F17" s="11">
        <v>25.351681605238348</v>
      </c>
      <c r="G17" s="11">
        <v>35.92179989951665</v>
      </c>
      <c r="H17" s="11">
        <v>98.248247828876387</v>
      </c>
      <c r="I17" s="11">
        <v>101.61175937149216</v>
      </c>
      <c r="J17" s="11">
        <v>112.55191224837078</v>
      </c>
    </row>
    <row r="18" spans="1:10" ht="36.85" customHeight="1">
      <c r="A18" s="2">
        <v>2039</v>
      </c>
      <c r="B18" s="11">
        <v>4.78218095314271</v>
      </c>
      <c r="C18" s="11">
        <v>7.9888099759643616</v>
      </c>
      <c r="D18" s="11">
        <v>18.426086002829834</v>
      </c>
      <c r="E18" s="11">
        <v>21.911460995715398</v>
      </c>
      <c r="F18" s="11">
        <v>25.290378827301328</v>
      </c>
      <c r="G18" s="11">
        <v>36.288438730510009</v>
      </c>
      <c r="H18" s="11">
        <v>98.128229538969265</v>
      </c>
      <c r="I18" s="11">
        <v>101.62543520940828</v>
      </c>
      <c r="J18" s="11">
        <v>113.0085109083153</v>
      </c>
    </row>
    <row r="19" spans="1:10" ht="36.85" customHeight="1">
      <c r="A19" s="2">
        <v>2040</v>
      </c>
      <c r="B19" s="11">
        <v>4.6947049876484739</v>
      </c>
      <c r="C19" s="11">
        <v>8.0062820973861939</v>
      </c>
      <c r="D19" s="11">
        <v>18.798977786527232</v>
      </c>
      <c r="E19" s="11">
        <v>21.719911501091211</v>
      </c>
      <c r="F19" s="11">
        <v>25.209416170053018</v>
      </c>
      <c r="G19" s="11">
        <v>36.581992060615427</v>
      </c>
      <c r="H19" s="11">
        <v>97.866127947245118</v>
      </c>
      <c r="I19" s="11">
        <v>101.47779183597271</v>
      </c>
      <c r="J19" s="11">
        <v>113.2484944319886</v>
      </c>
    </row>
    <row r="20" spans="1:10" ht="36.85" customHeight="1">
      <c r="A20" s="2">
        <v>2041</v>
      </c>
      <c r="B20" s="11">
        <v>4.7820869363696872</v>
      </c>
      <c r="C20" s="11">
        <v>8.1720950105415344</v>
      </c>
      <c r="D20" s="11">
        <v>19.231818915998264</v>
      </c>
      <c r="E20" s="11">
        <v>21.493595499144316</v>
      </c>
      <c r="F20" s="11">
        <v>25.06574514586589</v>
      </c>
      <c r="G20" s="11">
        <v>36.719696398287816</v>
      </c>
      <c r="H20" s="11">
        <v>97.240060567198313</v>
      </c>
      <c r="I20" s="11">
        <v>100.93726263686447</v>
      </c>
      <c r="J20" s="11">
        <v>112.99919087376996</v>
      </c>
    </row>
    <row r="21" spans="1:10" ht="36.85" customHeight="1">
      <c r="A21" s="2">
        <v>2042</v>
      </c>
      <c r="B21" s="11">
        <v>4.7087847950249797</v>
      </c>
      <c r="C21" s="11">
        <v>8.1564970389067533</v>
      </c>
      <c r="D21" s="11">
        <v>19.409324637849831</v>
      </c>
      <c r="E21" s="11">
        <v>21.615679413775609</v>
      </c>
      <c r="F21" s="11">
        <v>25.248633614626172</v>
      </c>
      <c r="G21" s="11">
        <v>37.106063819125936</v>
      </c>
      <c r="H21" s="11">
        <v>97.930694094505384</v>
      </c>
      <c r="I21" s="11">
        <v>101.69082934043901</v>
      </c>
      <c r="J21" s="11">
        <v>113.96335984129109</v>
      </c>
    </row>
    <row r="22" spans="1:10" ht="36.85" customHeight="1">
      <c r="A22" s="2">
        <v>2043</v>
      </c>
      <c r="B22" s="11">
        <v>4.8355211710211981</v>
      </c>
      <c r="C22" s="11">
        <v>8.342400047804972</v>
      </c>
      <c r="D22" s="11">
        <v>19.792399535332848</v>
      </c>
      <c r="E22" s="11">
        <v>21.536277193784514</v>
      </c>
      <c r="F22" s="11">
        <v>25.231576988567099</v>
      </c>
      <c r="G22" s="11">
        <v>37.29677292009206</v>
      </c>
      <c r="H22" s="11">
        <v>98.940407903316398</v>
      </c>
      <c r="I22" s="11">
        <v>102.76507131344144</v>
      </c>
      <c r="J22" s="11">
        <v>115.25264092293455</v>
      </c>
    </row>
    <row r="23" spans="1:10" ht="36.85" customHeight="1">
      <c r="A23" s="2">
        <v>2044</v>
      </c>
      <c r="B23" s="11">
        <v>4.8089741271588737</v>
      </c>
      <c r="C23" s="11">
        <v>8.359555010474331</v>
      </c>
      <c r="D23" s="11">
        <v>19.962073151888756</v>
      </c>
      <c r="E23" s="11">
        <v>21.444351084010634</v>
      </c>
      <c r="F23" s="11">
        <v>25.185700948225961</v>
      </c>
      <c r="G23" s="11">
        <v>37.411610200686702</v>
      </c>
      <c r="H23" s="11">
        <v>99.49397523631049</v>
      </c>
      <c r="I23" s="11">
        <v>103.36630081875558</v>
      </c>
      <c r="J23" s="11">
        <v>116.02020993850186</v>
      </c>
    </row>
    <row r="24" spans="1:10" ht="36.85" customHeight="1">
      <c r="A24" s="2">
        <v>2045</v>
      </c>
      <c r="B24" s="11">
        <v>4.7347217183213939</v>
      </c>
      <c r="C24" s="11">
        <v>8.3408859908629651</v>
      </c>
      <c r="D24" s="11">
        <v>20.131975032236472</v>
      </c>
      <c r="E24" s="11">
        <v>21.337179233531593</v>
      </c>
      <c r="F24" s="11">
        <v>25.137098924084619</v>
      </c>
      <c r="G24" s="11">
        <v>37.561710792861511</v>
      </c>
      <c r="H24" s="11">
        <v>97.724391357056732</v>
      </c>
      <c r="I24" s="11">
        <v>101.65733715549823</v>
      </c>
      <c r="J24" s="11">
        <v>114.5169049953282</v>
      </c>
    </row>
    <row r="25" spans="1:10" ht="36.85" customHeight="1">
      <c r="A25" s="2">
        <v>2046</v>
      </c>
      <c r="B25" s="11">
        <v>4.5495289922461213</v>
      </c>
      <c r="C25" s="11">
        <v>8.1873344498825951</v>
      </c>
      <c r="D25" s="11">
        <v>20.090201122436632</v>
      </c>
      <c r="E25" s="11">
        <v>21.206167746576003</v>
      </c>
      <c r="F25" s="11">
        <v>25.039428669859348</v>
      </c>
      <c r="G25" s="11">
        <v>37.581823864515322</v>
      </c>
      <c r="H25" s="11">
        <v>98.446912259440595</v>
      </c>
      <c r="I25" s="11">
        <v>102.41436648749641</v>
      </c>
      <c r="J25" s="11">
        <v>115.39584096598357</v>
      </c>
    </row>
    <row r="26" spans="1:10" ht="36.85" customHeight="1">
      <c r="A26" s="2">
        <v>2047</v>
      </c>
      <c r="B26" s="11">
        <v>4.5687741834272995</v>
      </c>
      <c r="C26" s="11">
        <v>8.2394818979298012</v>
      </c>
      <c r="D26" s="11">
        <v>20.25020167080762</v>
      </c>
      <c r="E26" s="11">
        <v>20.993248763426095</v>
      </c>
      <c r="F26" s="11">
        <v>24.861179747272356</v>
      </c>
      <c r="G26" s="11">
        <v>37.517222876030544</v>
      </c>
      <c r="H26" s="11">
        <v>99.160377173182169</v>
      </c>
      <c r="I26" s="11">
        <v>103.16371517777191</v>
      </c>
      <c r="J26" s="11">
        <v>116.26281613295542</v>
      </c>
    </row>
    <row r="27" spans="1:10" ht="36.85" customHeight="1">
      <c r="A27" s="2">
        <v>2048</v>
      </c>
      <c r="B27" s="11">
        <v>4.602140656608614</v>
      </c>
      <c r="C27" s="11">
        <v>8.3030505214320041</v>
      </c>
      <c r="D27" s="11">
        <v>20.41249834518355</v>
      </c>
      <c r="E27" s="11">
        <v>21.077880534945912</v>
      </c>
      <c r="F27" s="11">
        <v>24.977636398921806</v>
      </c>
      <c r="G27" s="11">
        <v>37.73771213301125</v>
      </c>
      <c r="H27" s="11">
        <v>100.99586248352379</v>
      </c>
      <c r="I27" s="11">
        <v>105.0321394812462</v>
      </c>
      <c r="J27" s="11">
        <v>118.2389149746721</v>
      </c>
    </row>
    <row r="28" spans="1:10" ht="36.85" customHeight="1">
      <c r="A28" s="2">
        <v>2049</v>
      </c>
      <c r="B28" s="11">
        <v>4.710572308800824</v>
      </c>
      <c r="C28" s="11">
        <v>8.424033341848979</v>
      </c>
      <c r="D28" s="11">
        <v>20.586062397472034</v>
      </c>
      <c r="E28" s="11">
        <v>21.172821805609004</v>
      </c>
      <c r="F28" s="11">
        <v>25.0858031988931</v>
      </c>
      <c r="G28" s="11">
        <v>37.901285299204808</v>
      </c>
      <c r="H28" s="11">
        <v>100.98830202276331</v>
      </c>
      <c r="I28" s="11">
        <v>105.03826754397062</v>
      </c>
      <c r="J28" s="11">
        <v>118.30238904809842</v>
      </c>
    </row>
    <row r="29" spans="1:10" ht="36.85" customHeight="1">
      <c r="A29" s="2">
        <v>2050</v>
      </c>
      <c r="B29" s="11">
        <v>4.46564351155632</v>
      </c>
      <c r="C29" s="11">
        <v>8.2102464474765835</v>
      </c>
      <c r="D29" s="11">
        <v>20.475231265886791</v>
      </c>
      <c r="E29" s="11">
        <v>20.988816279346757</v>
      </c>
      <c r="F29" s="11">
        <v>24.93461279722905</v>
      </c>
      <c r="G29" s="11">
        <v>37.858582365305246</v>
      </c>
      <c r="H29" s="11">
        <v>101.06463459372651</v>
      </c>
      <c r="I29" s="11">
        <v>105.14856401862752</v>
      </c>
      <c r="J29" s="11">
        <v>118.52497087751917</v>
      </c>
    </row>
    <row r="30" spans="1:10" ht="10.9" customHeight="1"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36.85" customHeight="1">
      <c r="A31" s="1" t="s">
        <v>383</v>
      </c>
      <c r="B31" s="12">
        <f t="shared" ref="B31:J31" si="0">SUM(B5:B29)</f>
        <v>110.43467666949476</v>
      </c>
      <c r="C31" s="12">
        <f t="shared" si="0"/>
        <v>179.32382659409669</v>
      </c>
      <c r="D31" s="12">
        <f t="shared" si="0"/>
        <v>402.80686699121668</v>
      </c>
      <c r="E31" s="12">
        <f t="shared" si="0"/>
        <v>476.47485575135346</v>
      </c>
      <c r="F31" s="12">
        <f t="shared" si="0"/>
        <v>549.06534733188835</v>
      </c>
      <c r="G31" s="12">
        <f t="shared" si="0"/>
        <v>784.55589671586222</v>
      </c>
      <c r="H31" s="12">
        <f t="shared" si="0"/>
        <v>2116.3434841663607</v>
      </c>
      <c r="I31" s="12">
        <f t="shared" si="0"/>
        <v>2191.4751953912673</v>
      </c>
      <c r="J31" s="12">
        <f t="shared" si="0"/>
        <v>2435.2097061692011</v>
      </c>
    </row>
    <row r="32" spans="1:10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J1"/>
    <mergeCell ref="A2:J2"/>
  </mergeCells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00"/>
  <sheetViews>
    <sheetView workbookViewId="0">
      <selection activeCell="K9" sqref="K9"/>
    </sheetView>
  </sheetViews>
  <sheetFormatPr defaultRowHeight="13.5"/>
  <cols>
    <col min="1" max="1" width="10" customWidth="1"/>
    <col min="2" max="2" width="16" customWidth="1"/>
    <col min="3" max="3" width="20" customWidth="1"/>
    <col min="4" max="4" width="18" customWidth="1"/>
    <col min="5" max="5" width="22" customWidth="1"/>
    <col min="6" max="6" width="20" customWidth="1"/>
    <col min="7" max="7" width="18" customWidth="1"/>
    <col min="8" max="8" width="12" customWidth="1"/>
    <col min="9" max="9" width="18" customWidth="1"/>
  </cols>
  <sheetData>
    <row r="1" spans="1:9" ht="36" customHeight="1">
      <c r="A1" s="14" t="s">
        <v>384</v>
      </c>
      <c r="B1" s="14"/>
      <c r="C1" s="14"/>
      <c r="D1" s="14"/>
      <c r="E1" s="14"/>
      <c r="F1" s="14"/>
      <c r="G1" s="14"/>
      <c r="H1" s="14"/>
      <c r="I1" s="14"/>
    </row>
    <row r="2" spans="1:9" ht="24.4" customHeight="1">
      <c r="A2" s="15" t="s">
        <v>385</v>
      </c>
      <c r="B2" s="15"/>
      <c r="C2" s="15"/>
      <c r="D2" s="15"/>
      <c r="E2" s="15"/>
      <c r="F2" s="15"/>
      <c r="G2" s="15"/>
      <c r="H2" s="15"/>
      <c r="I2" s="15"/>
    </row>
    <row r="3" spans="1:9" ht="24.4" customHeight="1"/>
    <row r="4" spans="1:9" ht="43.5" customHeight="1">
      <c r="A4" s="3" t="s">
        <v>373</v>
      </c>
      <c r="B4" s="3" t="s">
        <v>386</v>
      </c>
      <c r="C4" s="3" t="s">
        <v>387</v>
      </c>
      <c r="D4" s="3" t="s">
        <v>388</v>
      </c>
      <c r="E4" s="3" t="s">
        <v>389</v>
      </c>
      <c r="F4" s="3" t="s">
        <v>390</v>
      </c>
      <c r="G4" s="3" t="s">
        <v>391</v>
      </c>
      <c r="H4" s="3" t="s">
        <v>392</v>
      </c>
      <c r="I4" s="3" t="s">
        <v>393</v>
      </c>
    </row>
    <row r="5" spans="1:9" ht="24.4" customHeight="1">
      <c r="A5" s="2">
        <v>2026</v>
      </c>
      <c r="B5" s="8">
        <v>149218.31668446388</v>
      </c>
      <c r="C5" s="8">
        <v>137919.19143607831</v>
      </c>
      <c r="D5" s="8">
        <v>8060.0583814387719</v>
      </c>
      <c r="E5" s="8">
        <v>2602642.2732295156</v>
      </c>
      <c r="F5" s="8">
        <v>688938.43257517822</v>
      </c>
      <c r="G5" s="8">
        <v>1033556.3416226739</v>
      </c>
      <c r="H5" s="8">
        <v>9157.8343113556002</v>
      </c>
      <c r="I5" s="8">
        <v>4629492.4482407039</v>
      </c>
    </row>
    <row r="6" spans="1:9" ht="24.4" customHeight="1">
      <c r="A6" s="2">
        <v>2027</v>
      </c>
      <c r="B6" s="8">
        <v>295307.84394982411</v>
      </c>
      <c r="C6" s="8">
        <v>272946.51197825663</v>
      </c>
      <c r="D6" s="8">
        <v>15951.114552280771</v>
      </c>
      <c r="E6" s="8">
        <v>5150712.6963864164</v>
      </c>
      <c r="F6" s="8">
        <v>950368.51015344041</v>
      </c>
      <c r="G6" s="8">
        <v>1915739.4988535151</v>
      </c>
      <c r="H6" s="8">
        <v>18123.648395356242</v>
      </c>
      <c r="I6" s="8">
        <v>8619149.8242690898</v>
      </c>
    </row>
    <row r="7" spans="1:9" ht="24.4" customHeight="1">
      <c r="A7" s="2">
        <v>2028</v>
      </c>
      <c r="B7" s="8">
        <v>372407.83829884883</v>
      </c>
      <c r="C7" s="8">
        <v>344208.33235403121</v>
      </c>
      <c r="D7" s="8">
        <v>20115.6867674721</v>
      </c>
      <c r="E7" s="8">
        <v>6495478.6005806774</v>
      </c>
      <c r="F7" s="8">
        <v>1215401.8002093278</v>
      </c>
      <c r="G7" s="8">
        <v>2421216.4458480617</v>
      </c>
      <c r="H7" s="8">
        <v>22855.433268307672</v>
      </c>
      <c r="I7" s="8">
        <v>10891684.137326727</v>
      </c>
    </row>
    <row r="8" spans="1:9" ht="24.4" customHeight="1">
      <c r="A8" s="2">
        <v>2029</v>
      </c>
      <c r="B8" s="8">
        <v>504548.06260240969</v>
      </c>
      <c r="C8" s="8">
        <v>466342.62053707585</v>
      </c>
      <c r="D8" s="8">
        <v>27253.268440339241</v>
      </c>
      <c r="E8" s="8">
        <v>8800247.4882616419</v>
      </c>
      <c r="F8" s="8">
        <v>1468764.2050020981</v>
      </c>
      <c r="G8" s="8">
        <v>3224469.6716848142</v>
      </c>
      <c r="H8" s="8">
        <v>30965.150003661838</v>
      </c>
      <c r="I8" s="8">
        <v>14522590.46653204</v>
      </c>
    </row>
    <row r="9" spans="1:9" ht="24.4" customHeight="1">
      <c r="A9" s="2">
        <v>2030</v>
      </c>
      <c r="B9" s="8">
        <v>766429.95689363091</v>
      </c>
      <c r="C9" s="8">
        <v>708394.26617230824</v>
      </c>
      <c r="D9" s="8">
        <v>41398.873376310134</v>
      </c>
      <c r="E9" s="8">
        <v>13367950.05869762</v>
      </c>
      <c r="F9" s="8">
        <v>1733988.1501910023</v>
      </c>
      <c r="G9" s="8">
        <v>4742008.5975910276</v>
      </c>
      <c r="H9" s="8">
        <v>47037.379273841267</v>
      </c>
      <c r="I9" s="8">
        <v>21407207.282195739</v>
      </c>
    </row>
    <row r="10" spans="1:9" ht="24.4" customHeight="1">
      <c r="A10" s="2">
        <v>2031</v>
      </c>
      <c r="B10" s="8">
        <v>769625.20389801974</v>
      </c>
      <c r="C10" s="8">
        <v>711347.56234315143</v>
      </c>
      <c r="D10" s="8">
        <v>41571.46530718515</v>
      </c>
      <c r="E10" s="8">
        <v>13423681.051459171</v>
      </c>
      <c r="F10" s="8">
        <v>1954223.0182139215</v>
      </c>
      <c r="G10" s="8">
        <v>4828661.8778773509</v>
      </c>
      <c r="H10" s="8">
        <v>47233.478139585255</v>
      </c>
      <c r="I10" s="8">
        <v>21776343.657238387</v>
      </c>
    </row>
    <row r="11" spans="1:9" ht="24.4" customHeight="1">
      <c r="A11" s="2">
        <v>2032</v>
      </c>
      <c r="B11" s="8">
        <v>776725.73600665224</v>
      </c>
      <c r="C11" s="8">
        <v>717910.42720416805</v>
      </c>
      <c r="D11" s="8">
        <v>41955.00202443602</v>
      </c>
      <c r="E11" s="8">
        <v>13547527.409191705</v>
      </c>
      <c r="F11" s="8">
        <v>2155775.6079751453</v>
      </c>
      <c r="G11" s="8">
        <v>4930837.1473903917</v>
      </c>
      <c r="H11" s="8">
        <v>47669.252366356763</v>
      </c>
      <c r="I11" s="8">
        <v>22218400.582158856</v>
      </c>
    </row>
    <row r="12" spans="1:9" ht="24.4" customHeight="1">
      <c r="A12" s="2">
        <v>2033</v>
      </c>
      <c r="B12" s="8">
        <v>769252.88291706762</v>
      </c>
      <c r="C12" s="8">
        <v>711003.43429112283</v>
      </c>
      <c r="D12" s="8">
        <v>41551.354312035313</v>
      </c>
      <c r="E12" s="8">
        <v>13417187.087810691</v>
      </c>
      <c r="F12" s="8">
        <v>2351167.6045586811</v>
      </c>
      <c r="G12" s="8">
        <v>4951263.3734039823</v>
      </c>
      <c r="H12" s="8">
        <v>47210.628036930553</v>
      </c>
      <c r="I12" s="8">
        <v>22288636.36533051</v>
      </c>
    </row>
    <row r="13" spans="1:9" ht="24.4" customHeight="1">
      <c r="A13" s="2">
        <v>2034</v>
      </c>
      <c r="B13" s="8">
        <v>776362.34873883519</v>
      </c>
      <c r="C13" s="8">
        <v>717574.55638569815</v>
      </c>
      <c r="D13" s="8">
        <v>41935.373585657479</v>
      </c>
      <c r="E13" s="8">
        <v>13541189.265954409</v>
      </c>
      <c r="F13" s="8">
        <v>2552941.4317860901</v>
      </c>
      <c r="G13" s="8">
        <v>5053557.039090517</v>
      </c>
      <c r="H13" s="8">
        <v>47646.95054401036</v>
      </c>
      <c r="I13" s="8">
        <v>22731206.966085218</v>
      </c>
    </row>
    <row r="14" spans="1:9" ht="24.4" customHeight="1">
      <c r="A14" s="2">
        <v>2035</v>
      </c>
      <c r="B14" s="8">
        <v>810822.67464929272</v>
      </c>
      <c r="C14" s="8">
        <v>749425.47383200703</v>
      </c>
      <c r="D14" s="8">
        <v>43796.75525014192</v>
      </c>
      <c r="E14" s="8">
        <v>14142240.818851072</v>
      </c>
      <c r="F14" s="8">
        <v>2750066.1690098695</v>
      </c>
      <c r="G14" s="8">
        <v>5304184.3941883352</v>
      </c>
      <c r="H14" s="8">
        <v>49761.851462445265</v>
      </c>
      <c r="I14" s="8">
        <v>23850298.137243163</v>
      </c>
    </row>
    <row r="15" spans="1:9" ht="24.4" customHeight="1">
      <c r="A15" s="2">
        <v>2036</v>
      </c>
      <c r="B15" s="8">
        <v>829931.24229773518</v>
      </c>
      <c r="C15" s="8">
        <v>767087.10048838903</v>
      </c>
      <c r="D15" s="8">
        <v>44828.908502197432</v>
      </c>
      <c r="E15" s="8">
        <v>14475529.432794271</v>
      </c>
      <c r="F15" s="8">
        <v>2897471.8377847886</v>
      </c>
      <c r="G15" s="8">
        <v>5455122.3989618244</v>
      </c>
      <c r="H15" s="8">
        <v>50934.583472429033</v>
      </c>
      <c r="I15" s="8">
        <v>24520905.504301634</v>
      </c>
    </row>
    <row r="16" spans="1:9" ht="24.4" customHeight="1">
      <c r="A16" s="2">
        <v>2037</v>
      </c>
      <c r="B16" s="8">
        <v>842964.87970479799</v>
      </c>
      <c r="C16" s="8">
        <v>779133.80341732176</v>
      </c>
      <c r="D16" s="8">
        <v>45532.923134969176</v>
      </c>
      <c r="E16" s="8">
        <v>14702860.074523048</v>
      </c>
      <c r="F16" s="8">
        <v>3007317.1203202992</v>
      </c>
      <c r="G16" s="8">
        <v>5560995.6391808111</v>
      </c>
      <c r="H16" s="8">
        <v>51734.484546910164</v>
      </c>
      <c r="I16" s="8">
        <v>24990538.924828157</v>
      </c>
    </row>
    <row r="17" spans="1:9" ht="24.4" customHeight="1">
      <c r="A17" s="2">
        <v>2038</v>
      </c>
      <c r="B17" s="8">
        <v>851473.0358413856</v>
      </c>
      <c r="C17" s="8">
        <v>786997.70404991903</v>
      </c>
      <c r="D17" s="8">
        <v>45992.492956576949</v>
      </c>
      <c r="E17" s="8">
        <v>14851257.987864645</v>
      </c>
      <c r="F17" s="8">
        <v>3120554.5881182682</v>
      </c>
      <c r="G17" s="8">
        <v>5643149.1488586348</v>
      </c>
      <c r="H17" s="8">
        <v>52256.647548914625</v>
      </c>
      <c r="I17" s="8">
        <v>25351681.605238345</v>
      </c>
    </row>
    <row r="18" spans="1:9" ht="24.4" customHeight="1">
      <c r="A18" s="2">
        <v>2039</v>
      </c>
      <c r="B18" s="8">
        <v>842528.47790934425</v>
      </c>
      <c r="C18" s="8">
        <v>778730.44688504352</v>
      </c>
      <c r="D18" s="8">
        <v>45509.350801308829</v>
      </c>
      <c r="E18" s="8">
        <v>14695248.423445638</v>
      </c>
      <c r="F18" s="8">
        <v>3243794.8414192474</v>
      </c>
      <c r="G18" s="8">
        <v>5632859.5851675738</v>
      </c>
      <c r="H18" s="8">
        <v>51707.701673166892</v>
      </c>
      <c r="I18" s="8">
        <v>25290378.827301323</v>
      </c>
    </row>
    <row r="19" spans="1:9" ht="24.4" customHeight="1">
      <c r="A19" s="2">
        <v>2040</v>
      </c>
      <c r="B19" s="8">
        <v>833773.58157176943</v>
      </c>
      <c r="C19" s="8">
        <v>770638.48973920417</v>
      </c>
      <c r="D19" s="8">
        <v>45036.453256475157</v>
      </c>
      <c r="E19" s="8">
        <v>14542546.906552795</v>
      </c>
      <c r="F19" s="8">
        <v>3348470.7873337199</v>
      </c>
      <c r="G19" s="8">
        <v>5617779.5558803659</v>
      </c>
      <c r="H19" s="8">
        <v>51170.395718683161</v>
      </c>
      <c r="I19" s="8">
        <v>25209416.170053013</v>
      </c>
    </row>
    <row r="20" spans="1:9" ht="24.4" customHeight="1">
      <c r="A20" s="2">
        <v>2041</v>
      </c>
      <c r="B20" s="8">
        <v>823906.61087629036</v>
      </c>
      <c r="C20" s="8">
        <v>761518.66684828093</v>
      </c>
      <c r="D20" s="8">
        <v>44503.48678412391</v>
      </c>
      <c r="E20" s="8">
        <v>14370448.764639864</v>
      </c>
      <c r="F20" s="8">
        <v>3426546.3205035692</v>
      </c>
      <c r="G20" s="8">
        <v>5588256.4567350373</v>
      </c>
      <c r="H20" s="8">
        <v>50564.839478725851</v>
      </c>
      <c r="I20" s="8">
        <v>25065745.145865891</v>
      </c>
    </row>
    <row r="21" spans="1:9" ht="24.4" customHeight="1">
      <c r="A21" s="2">
        <v>2042</v>
      </c>
      <c r="B21" s="8">
        <v>828191.11650418642</v>
      </c>
      <c r="C21" s="8">
        <v>765478.74068527704</v>
      </c>
      <c r="D21" s="8">
        <v>44734.915245882192</v>
      </c>
      <c r="E21" s="8">
        <v>14445178.433991596</v>
      </c>
      <c r="F21" s="8">
        <v>3484350.5262894733</v>
      </c>
      <c r="G21" s="8">
        <v>5629872.0935282558</v>
      </c>
      <c r="H21" s="8">
        <v>50827.788381502396</v>
      </c>
      <c r="I21" s="8">
        <v>25248633.614626173</v>
      </c>
    </row>
    <row r="22" spans="1:9" ht="24.4" customHeight="1">
      <c r="A22" s="2">
        <v>2043</v>
      </c>
      <c r="B22" s="8">
        <v>824382.62714077882</v>
      </c>
      <c r="C22" s="8">
        <v>761958.63815855607</v>
      </c>
      <c r="D22" s="8">
        <v>44529.198901560587</v>
      </c>
      <c r="E22" s="8">
        <v>14378751.365019167</v>
      </c>
      <c r="F22" s="8">
        <v>3543708.6584149832</v>
      </c>
      <c r="G22" s="8">
        <v>5627652.4473583233</v>
      </c>
      <c r="H22" s="8">
        <v>50594.053573728124</v>
      </c>
      <c r="I22" s="8">
        <v>25231576.988567095</v>
      </c>
    </row>
    <row r="23" spans="1:9" ht="24.4" customHeight="1">
      <c r="A23" s="2">
        <v>2044</v>
      </c>
      <c r="B23" s="8">
        <v>820275.26571688592</v>
      </c>
      <c r="C23" s="8">
        <v>758162.29479330464</v>
      </c>
      <c r="D23" s="8">
        <v>44307.338920789909</v>
      </c>
      <c r="E23" s="8">
        <v>14307111.41684939</v>
      </c>
      <c r="F23" s="8">
        <v>3586811.0126945246</v>
      </c>
      <c r="G23" s="8">
        <v>5618691.642876789</v>
      </c>
      <c r="H23" s="8">
        <v>50341.976374275429</v>
      </c>
      <c r="I23" s="8">
        <v>25185700.94822596</v>
      </c>
    </row>
    <row r="24" spans="1:9" ht="24.4" customHeight="1">
      <c r="A24" s="2">
        <v>2045</v>
      </c>
      <c r="B24" s="8">
        <v>815411.0460186915</v>
      </c>
      <c r="C24" s="8">
        <v>753666.40405650553</v>
      </c>
      <c r="D24" s="8">
        <v>44044.597083067027</v>
      </c>
      <c r="E24" s="8">
        <v>14222270.466394451</v>
      </c>
      <c r="F24" s="8">
        <v>3642214.6383977896</v>
      </c>
      <c r="G24" s="8">
        <v>5609448.3229047637</v>
      </c>
      <c r="H24" s="8">
        <v>50043.449229351965</v>
      </c>
      <c r="I24" s="8">
        <v>25137098.924084619</v>
      </c>
    </row>
    <row r="25" spans="1:9" ht="24.4" customHeight="1">
      <c r="A25" s="2">
        <v>2046</v>
      </c>
      <c r="B25" s="8">
        <v>809862.37293476844</v>
      </c>
      <c r="C25" s="8">
        <v>748537.88818605768</v>
      </c>
      <c r="D25" s="8">
        <v>43744.884353493035</v>
      </c>
      <c r="E25" s="8">
        <v>14125491.388266351</v>
      </c>
      <c r="F25" s="8">
        <v>3673276.1981944363</v>
      </c>
      <c r="G25" s="8">
        <v>5588813.0221486874</v>
      </c>
      <c r="H25" s="8">
        <v>49702.915775554233</v>
      </c>
      <c r="I25" s="8">
        <v>25039428.66985935</v>
      </c>
    </row>
    <row r="26" spans="1:9" ht="24.4" customHeight="1">
      <c r="A26" s="2">
        <v>2047</v>
      </c>
      <c r="B26" s="8">
        <v>800972.47961193335</v>
      </c>
      <c r="C26" s="8">
        <v>740321.15631103527</v>
      </c>
      <c r="D26" s="8">
        <v>43264.694918449801</v>
      </c>
      <c r="E26" s="8">
        <v>13970435.275313158</v>
      </c>
      <c r="F26" s="8">
        <v>3706478.0364462696</v>
      </c>
      <c r="G26" s="8">
        <v>5550550.7798924604</v>
      </c>
      <c r="H26" s="8">
        <v>49157.324779052746</v>
      </c>
      <c r="I26" s="8">
        <v>24861179.747272357</v>
      </c>
    </row>
    <row r="27" spans="1:9" ht="24.4" customHeight="1">
      <c r="A27" s="2">
        <v>2048</v>
      </c>
      <c r="B27" s="8">
        <v>804032.42605864746</v>
      </c>
      <c r="C27" s="8">
        <v>743149.39716742386</v>
      </c>
      <c r="D27" s="8">
        <v>43429.978561588243</v>
      </c>
      <c r="E27" s="8">
        <v>14023806.377152333</v>
      </c>
      <c r="F27" s="8">
        <v>3736984.7013577344</v>
      </c>
      <c r="G27" s="8">
        <v>5576888.3986521615</v>
      </c>
      <c r="H27" s="8">
        <v>49345.119971916945</v>
      </c>
      <c r="I27" s="8">
        <v>24977636.398921806</v>
      </c>
    </row>
    <row r="28" spans="1:9" ht="24.4" customHeight="1">
      <c r="A28" s="2">
        <v>2049</v>
      </c>
      <c r="B28" s="8">
        <v>807764.37454779411</v>
      </c>
      <c r="C28" s="8">
        <v>746598.75465610647</v>
      </c>
      <c r="D28" s="8">
        <v>43631.560534682401</v>
      </c>
      <c r="E28" s="8">
        <v>14088898.432304695</v>
      </c>
      <c r="F28" s="8">
        <v>3748418.426025101</v>
      </c>
      <c r="G28" s="8">
        <v>5600917.4935155557</v>
      </c>
      <c r="H28" s="8">
        <v>49574.157309165472</v>
      </c>
      <c r="I28" s="8">
        <v>25085803.1988931</v>
      </c>
    </row>
    <row r="29" spans="1:9" ht="24.4" customHeight="1">
      <c r="A29" s="2">
        <v>2050</v>
      </c>
      <c r="B29" s="8">
        <v>800057.10531818226</v>
      </c>
      <c r="C29" s="8">
        <v>739475.09608692443</v>
      </c>
      <c r="D29" s="8">
        <v>43215.250785769349</v>
      </c>
      <c r="E29" s="8">
        <v>13954469.461694034</v>
      </c>
      <c r="F29" s="8">
        <v>3779749.8675738554</v>
      </c>
      <c r="G29" s="8">
        <v>5568544.869390117</v>
      </c>
      <c r="H29" s="8">
        <v>49101.146380171784</v>
      </c>
      <c r="I29" s="8">
        <v>24934612.797229055</v>
      </c>
    </row>
    <row r="30" spans="1:9" ht="4.5" customHeight="1"/>
    <row r="31" spans="1:9" ht="4.5" customHeight="1"/>
    <row r="32" spans="1:9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I1"/>
    <mergeCell ref="A2:I2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0"/>
  <sheetViews>
    <sheetView topLeftCell="A13" workbookViewId="0">
      <selection activeCell="J5" sqref="J5"/>
    </sheetView>
  </sheetViews>
  <sheetFormatPr defaultRowHeight="13.5"/>
  <cols>
    <col min="1" max="1" width="10" customWidth="1"/>
    <col min="2" max="2" width="16" customWidth="1"/>
    <col min="3" max="3" width="20" customWidth="1"/>
    <col min="4" max="4" width="18" customWidth="1"/>
    <col min="5" max="5" width="22" customWidth="1"/>
    <col min="6" max="6" width="20" customWidth="1"/>
    <col min="7" max="7" width="18" customWidth="1"/>
    <col min="8" max="8" width="12" customWidth="1"/>
  </cols>
  <sheetData>
    <row r="1" spans="1:8" ht="42" customHeight="1">
      <c r="A1" s="14" t="s">
        <v>394</v>
      </c>
      <c r="B1" s="14"/>
      <c r="C1" s="14"/>
      <c r="D1" s="14"/>
      <c r="E1" s="14"/>
      <c r="F1" s="14"/>
      <c r="G1" s="14"/>
      <c r="H1" s="14"/>
    </row>
    <row r="2" spans="1:8" ht="35.35" customHeight="1">
      <c r="A2" s="15" t="s">
        <v>395</v>
      </c>
      <c r="B2" s="15"/>
      <c r="C2" s="15"/>
      <c r="D2" s="15"/>
      <c r="E2" s="15"/>
      <c r="F2" s="15"/>
      <c r="G2" s="15"/>
      <c r="H2" s="15"/>
    </row>
    <row r="3" spans="1:8" ht="35.35" customHeight="1"/>
    <row r="4" spans="1:8" ht="42.4" customHeight="1">
      <c r="A4" s="3" t="s">
        <v>373</v>
      </c>
      <c r="B4" s="3" t="s">
        <v>396</v>
      </c>
      <c r="C4" s="3" t="s">
        <v>397</v>
      </c>
      <c r="D4" s="3" t="s">
        <v>398</v>
      </c>
      <c r="E4" s="3" t="s">
        <v>399</v>
      </c>
      <c r="F4" s="3" t="s">
        <v>400</v>
      </c>
      <c r="G4" s="3" t="s">
        <v>401</v>
      </c>
      <c r="H4" s="3" t="s">
        <v>402</v>
      </c>
    </row>
    <row r="5" spans="1:8" ht="35.35" customHeight="1">
      <c r="A5" s="2">
        <v>2026</v>
      </c>
      <c r="B5" s="7">
        <v>3.223211147934147E-2</v>
      </c>
      <c r="C5" s="7">
        <v>2.9791428105361794E-2</v>
      </c>
      <c r="D5" s="7">
        <v>1.741024198992213E-3</v>
      </c>
      <c r="E5" s="7">
        <v>0.56218738929330558</v>
      </c>
      <c r="F5" s="7">
        <v>0.14881511100358052</v>
      </c>
      <c r="G5" s="7">
        <v>0.22325478509322225</v>
      </c>
      <c r="H5" s="7">
        <v>1.9781508261960232E-3</v>
      </c>
    </row>
    <row r="6" spans="1:8" ht="35.35" customHeight="1">
      <c r="A6" s="2">
        <v>2027</v>
      </c>
      <c r="B6" s="7">
        <v>3.426182975939468E-2</v>
      </c>
      <c r="C6" s="7">
        <v>3.166745184191095E-2</v>
      </c>
      <c r="D6" s="7">
        <v>1.8506598536397337E-3</v>
      </c>
      <c r="E6" s="7">
        <v>0.59758941443197389</v>
      </c>
      <c r="F6" s="7">
        <v>0.1102624422976697</v>
      </c>
      <c r="G6" s="7">
        <v>0.22226548301310811</v>
      </c>
      <c r="H6" s="7">
        <v>2.1027188023028873E-3</v>
      </c>
    </row>
    <row r="7" spans="1:8" ht="35.35" customHeight="1">
      <c r="A7" s="2">
        <v>2028</v>
      </c>
      <c r="B7" s="7">
        <v>3.4191942550241203E-2</v>
      </c>
      <c r="C7" s="7">
        <v>3.1602856639442935E-2</v>
      </c>
      <c r="D7" s="7">
        <v>1.8468848815156081E-3</v>
      </c>
      <c r="E7" s="7">
        <v>0.59637045278609579</v>
      </c>
      <c r="F7" s="7">
        <v>0.11158988682420955</v>
      </c>
      <c r="G7" s="7">
        <v>0.2222995466376359</v>
      </c>
      <c r="H7" s="7">
        <v>2.0984296808590108E-3</v>
      </c>
    </row>
    <row r="8" spans="1:8" ht="35.35" customHeight="1">
      <c r="A8" s="2">
        <v>2029</v>
      </c>
      <c r="B8" s="7">
        <v>3.474229089948954E-2</v>
      </c>
      <c r="C8" s="7">
        <v>3.2111531452448744E-2</v>
      </c>
      <c r="D8" s="7">
        <v>1.8766120619558623E-3</v>
      </c>
      <c r="E8" s="7">
        <v>0.60596954162841721</v>
      </c>
      <c r="F8" s="7">
        <v>0.10113651613236158</v>
      </c>
      <c r="G8" s="7">
        <v>0.22203130213688452</v>
      </c>
      <c r="H8" s="7">
        <v>2.1322056884425966E-3</v>
      </c>
    </row>
    <row r="9" spans="1:8" ht="35.35" customHeight="1">
      <c r="A9" s="2">
        <v>2030</v>
      </c>
      <c r="B9" s="7">
        <v>3.5802426107728047E-2</v>
      </c>
      <c r="C9" s="7">
        <v>3.309139098968205E-2</v>
      </c>
      <c r="D9" s="7">
        <v>1.9338754855118981E-3</v>
      </c>
      <c r="E9" s="7">
        <v>0.62446025221681634</v>
      </c>
      <c r="F9" s="7">
        <v>8.1000203685286432E-2</v>
      </c>
      <c r="G9" s="7">
        <v>0.22151458315326025</v>
      </c>
      <c r="H9" s="7">
        <v>2.1972683617148881E-3</v>
      </c>
    </row>
    <row r="10" spans="1:8" ht="35.35" customHeight="1">
      <c r="A10" s="2">
        <v>2031</v>
      </c>
      <c r="B10" s="7">
        <v>3.5342260207314409E-2</v>
      </c>
      <c r="C10" s="7">
        <v>3.2666069820527555E-2</v>
      </c>
      <c r="D10" s="7">
        <v>1.9090195287842515E-3</v>
      </c>
      <c r="E10" s="7">
        <v>0.61643411138018034</v>
      </c>
      <c r="F10" s="7">
        <v>8.9740640071334657E-2</v>
      </c>
      <c r="G10" s="7">
        <v>0.22173887195577571</v>
      </c>
      <c r="H10" s="7">
        <v>2.1690270360830294E-3</v>
      </c>
    </row>
    <row r="11" spans="1:8" ht="35.35" customHeight="1">
      <c r="A11" s="2">
        <v>2032</v>
      </c>
      <c r="B11" s="7">
        <v>3.4958670095738345E-2</v>
      </c>
      <c r="C11" s="7">
        <v>3.2311525960182871E-2</v>
      </c>
      <c r="D11" s="7">
        <v>1.8882998292021726E-3</v>
      </c>
      <c r="E11" s="7">
        <v>0.60974359333813744</v>
      </c>
      <c r="F11" s="7">
        <v>9.702658839026472E-2</v>
      </c>
      <c r="G11" s="7">
        <v>0.22192583706271829</v>
      </c>
      <c r="H11" s="7">
        <v>2.1454853237561425E-3</v>
      </c>
    </row>
    <row r="12" spans="1:8" ht="35.35" customHeight="1">
      <c r="A12" s="2">
        <v>2033</v>
      </c>
      <c r="B12" s="7">
        <v>3.4513232227774318E-2</v>
      </c>
      <c r="C12" s="7">
        <v>3.1899817585838194E-2</v>
      </c>
      <c r="D12" s="7">
        <v>1.8642394102075955E-3</v>
      </c>
      <c r="E12" s="7">
        <v>0.60197433651350851</v>
      </c>
      <c r="F12" s="7">
        <v>0.10548727907894227</v>
      </c>
      <c r="G12" s="7">
        <v>0.22214294729602951</v>
      </c>
      <c r="H12" s="7">
        <v>2.1181478876996559E-3</v>
      </c>
    </row>
    <row r="13" spans="1:8" ht="35.35" customHeight="1">
      <c r="A13" s="2">
        <v>2034</v>
      </c>
      <c r="B13" s="7">
        <v>3.4154031059466475E-2</v>
      </c>
      <c r="C13" s="7">
        <v>3.1567815886605309E-2</v>
      </c>
      <c r="D13" s="7">
        <v>1.8448370844638706E-3</v>
      </c>
      <c r="E13" s="7">
        <v>0.59570920656161186</v>
      </c>
      <c r="F13" s="7">
        <v>0.11230998140992067</v>
      </c>
      <c r="G13" s="7">
        <v>0.22231802502306122</v>
      </c>
      <c r="H13" s="7">
        <v>2.0961029748705925E-3</v>
      </c>
    </row>
    <row r="14" spans="1:8" ht="35.35" customHeight="1">
      <c r="A14" s="2">
        <v>2035</v>
      </c>
      <c r="B14" s="7">
        <v>3.3996332875317885E-2</v>
      </c>
      <c r="C14" s="7">
        <v>3.1422058941131224E-2</v>
      </c>
      <c r="D14" s="7">
        <v>1.8363189842793446E-3</v>
      </c>
      <c r="E14" s="7">
        <v>0.59295865978159046</v>
      </c>
      <c r="F14" s="7">
        <v>0.11530531623483291</v>
      </c>
      <c r="G14" s="7">
        <v>0.22239488846915692</v>
      </c>
      <c r="H14" s="7">
        <v>2.0864247136911131E-3</v>
      </c>
    </row>
    <row r="15" spans="1:8" ht="35.35" customHeight="1">
      <c r="A15" s="2">
        <v>2036</v>
      </c>
      <c r="B15" s="7">
        <v>3.3845864385071041E-2</v>
      </c>
      <c r="C15" s="7">
        <v>3.1282984241908243E-2</v>
      </c>
      <c r="D15" s="7">
        <v>1.8281913975131637E-3</v>
      </c>
      <c r="E15" s="7">
        <v>0.59033421217886384</v>
      </c>
      <c r="F15" s="7">
        <v>0.11816332954247931</v>
      </c>
      <c r="G15" s="7">
        <v>0.22246822810050174</v>
      </c>
      <c r="H15" s="7">
        <v>2.0771901536627072E-3</v>
      </c>
    </row>
    <row r="16" spans="1:8" ht="35.35" customHeight="1">
      <c r="A16" s="2">
        <v>2037</v>
      </c>
      <c r="B16" s="7">
        <v>3.3731360585717914E-2</v>
      </c>
      <c r="C16" s="7">
        <v>3.1177150911429544E-2</v>
      </c>
      <c r="D16" s="7">
        <v>1.822006450998626E-3</v>
      </c>
      <c r="E16" s="7">
        <v>0.58833705502508082</v>
      </c>
      <c r="F16" s="7">
        <v>0.12033822597289098</v>
      </c>
      <c r="G16" s="7">
        <v>0.22252403823336314</v>
      </c>
      <c r="H16" s="7">
        <v>2.0701628205189214E-3</v>
      </c>
    </row>
    <row r="17" spans="1:8" ht="35.35" customHeight="1">
      <c r="A17" s="2">
        <v>2038</v>
      </c>
      <c r="B17" s="7">
        <v>3.3586451940349711E-2</v>
      </c>
      <c r="C17" s="7">
        <v>3.1043215053919888E-2</v>
      </c>
      <c r="D17" s="7">
        <v>1.8141791804088313E-3</v>
      </c>
      <c r="E17" s="7">
        <v>0.58580958135715822</v>
      </c>
      <c r="F17" s="7">
        <v>0.12309063503990507</v>
      </c>
      <c r="G17" s="7">
        <v>0.22259466794867785</v>
      </c>
      <c r="H17" s="7">
        <v>2.0612694795802806E-3</v>
      </c>
    </row>
    <row r="18" spans="1:8" ht="35.35" customHeight="1">
      <c r="A18" s="2">
        <v>2039</v>
      </c>
      <c r="B18" s="7">
        <v>3.3314189702837615E-2</v>
      </c>
      <c r="C18" s="7">
        <v>3.0791569086517312E-2</v>
      </c>
      <c r="D18" s="7">
        <v>1.7994728790768776E-3</v>
      </c>
      <c r="E18" s="7">
        <v>0.58106082648243718</v>
      </c>
      <c r="F18" s="7">
        <v>0.12826201076583021</v>
      </c>
      <c r="G18" s="7">
        <v>0.22272737089595593</v>
      </c>
      <c r="H18" s="7">
        <v>2.0445601873447495E-3</v>
      </c>
    </row>
    <row r="19" spans="1:8" ht="35.35" customHeight="1">
      <c r="A19" s="2">
        <v>2040</v>
      </c>
      <c r="B19" s="7">
        <v>3.307389492669937E-2</v>
      </c>
      <c r="C19" s="7">
        <v>3.0569469936978056E-2</v>
      </c>
      <c r="D19" s="7">
        <v>1.7864933068134773E-3</v>
      </c>
      <c r="E19" s="7">
        <v>0.57686964301173704</v>
      </c>
      <c r="F19" s="7">
        <v>0.13282619338529006</v>
      </c>
      <c r="G19" s="7">
        <v>0.22284449262866651</v>
      </c>
      <c r="H19" s="7">
        <v>2.029812803815343E-3</v>
      </c>
    </row>
    <row r="20" spans="1:8" ht="35.35" customHeight="1">
      <c r="A20" s="2">
        <v>2041</v>
      </c>
      <c r="B20" s="7">
        <v>3.2869823182263454E-2</v>
      </c>
      <c r="C20" s="7">
        <v>3.0380850934881489E-2</v>
      </c>
      <c r="D20" s="7">
        <v>1.7754703291341769E-3</v>
      </c>
      <c r="E20" s="7">
        <v>0.57331025592949469</v>
      </c>
      <c r="F20" s="7">
        <v>0.13670235217677987</v>
      </c>
      <c r="G20" s="7">
        <v>0.2229439589453702</v>
      </c>
      <c r="H20" s="7">
        <v>2.017288502076131E-3</v>
      </c>
    </row>
    <row r="21" spans="1:8" ht="35.35" customHeight="1">
      <c r="A21" s="2">
        <v>2042</v>
      </c>
      <c r="B21" s="7">
        <v>3.2801423203528413E-2</v>
      </c>
      <c r="C21" s="7">
        <v>3.0317630346611949E-2</v>
      </c>
      <c r="D21" s="7">
        <v>1.771775690070131E-3</v>
      </c>
      <c r="E21" s="7">
        <v>0.57211723432129458</v>
      </c>
      <c r="F21" s="7">
        <v>0.13800154810243034</v>
      </c>
      <c r="G21" s="7">
        <v>0.22297729768104962</v>
      </c>
      <c r="H21" s="7">
        <v>2.0130906550150335E-3</v>
      </c>
    </row>
    <row r="22" spans="1:8" ht="35.35" customHeight="1">
      <c r="A22" s="2">
        <v>2043</v>
      </c>
      <c r="B22" s="7">
        <v>3.2672655677222315E-2</v>
      </c>
      <c r="C22" s="7">
        <v>3.0198613368629865E-2</v>
      </c>
      <c r="D22" s="7">
        <v>1.7648202853804025E-3</v>
      </c>
      <c r="E22" s="7">
        <v>0.56987129149852378</v>
      </c>
      <c r="F22" s="7">
        <v>0.14044737116592848</v>
      </c>
      <c r="G22" s="7">
        <v>0.22304006007663801</v>
      </c>
      <c r="H22" s="7">
        <v>2.0051879276770232E-3</v>
      </c>
    </row>
    <row r="23" spans="1:8" ht="35.35" customHeight="1">
      <c r="A23" s="2">
        <v>2044</v>
      </c>
      <c r="B23" s="7">
        <v>3.2569086220912376E-2</v>
      </c>
      <c r="C23" s="7">
        <v>3.0102886409707343E-2</v>
      </c>
      <c r="D23" s="7">
        <v>1.7592259596773639E-3</v>
      </c>
      <c r="E23" s="7">
        <v>0.56806484942628366</v>
      </c>
      <c r="F23" s="7">
        <v>0.14241457960879877</v>
      </c>
      <c r="G23" s="7">
        <v>0.22309054071701587</v>
      </c>
      <c r="H23" s="7">
        <v>1.9988316576045675E-3</v>
      </c>
    </row>
    <row r="24" spans="1:8" ht="35.35" customHeight="1">
      <c r="A24" s="2">
        <v>2045</v>
      </c>
      <c r="B24" s="7">
        <v>3.2438550227346298E-2</v>
      </c>
      <c r="C24" s="7">
        <v>2.998223487653123E-2</v>
      </c>
      <c r="D24" s="7">
        <v>1.7521750308611213E-3</v>
      </c>
      <c r="E24" s="7">
        <v>0.56578806127733616</v>
      </c>
      <c r="F24" s="7">
        <v>0.1448939931134246</v>
      </c>
      <c r="G24" s="7">
        <v>0.2231541650786989</v>
      </c>
      <c r="H24" s="7">
        <v>1.9908203958016735E-3</v>
      </c>
    </row>
    <row r="25" spans="1:8" ht="35.35" customHeight="1">
      <c r="A25" s="2">
        <v>2046</v>
      </c>
      <c r="B25" s="7">
        <v>3.2343484494501355E-2</v>
      </c>
      <c r="C25" s="7">
        <v>2.9894367721220949E-2</v>
      </c>
      <c r="D25" s="7">
        <v>1.747040035548014E-3</v>
      </c>
      <c r="E25" s="7">
        <v>0.56412993980448112</v>
      </c>
      <c r="F25" s="7">
        <v>0.14669968099615868</v>
      </c>
      <c r="G25" s="7">
        <v>0.2232005009314009</v>
      </c>
      <c r="H25" s="7">
        <v>1.9849860166890713E-3</v>
      </c>
    </row>
    <row r="26" spans="1:8" ht="35.35" customHeight="1">
      <c r="A26" s="2">
        <v>2047</v>
      </c>
      <c r="B26" s="7">
        <v>3.2217798501690653E-2</v>
      </c>
      <c r="C26" s="7">
        <v>2.9778198936527119E-2</v>
      </c>
      <c r="D26" s="7">
        <v>1.740251080530343E-3</v>
      </c>
      <c r="E26" s="7">
        <v>0.56193774460143719</v>
      </c>
      <c r="F26" s="7">
        <v>0.14908697310926788</v>
      </c>
      <c r="G26" s="7">
        <v>0.22326176136116141</v>
      </c>
      <c r="H26" s="7">
        <v>1.977272409385401E-3</v>
      </c>
    </row>
    <row r="27" spans="1:8" ht="35.35" customHeight="1">
      <c r="A27" s="2">
        <v>2048</v>
      </c>
      <c r="B27" s="7">
        <v>3.2190092497837573E-2</v>
      </c>
      <c r="C27" s="7">
        <v>2.9752590889644902E-2</v>
      </c>
      <c r="D27" s="7">
        <v>1.7387545349752532E-3</v>
      </c>
      <c r="E27" s="7">
        <v>0.56145450086532966</v>
      </c>
      <c r="F27" s="7">
        <v>0.14961322367231858</v>
      </c>
      <c r="G27" s="7">
        <v>0.22327526550482157</v>
      </c>
      <c r="H27" s="7">
        <v>1.9755720350724216E-3</v>
      </c>
    </row>
    <row r="28" spans="1:8" ht="35.35" customHeight="1">
      <c r="A28" s="2">
        <v>2049</v>
      </c>
      <c r="B28" s="7">
        <v>3.2200060254934805E-2</v>
      </c>
      <c r="C28" s="7">
        <v>2.976180386717894E-2</v>
      </c>
      <c r="D28" s="7">
        <v>1.7392929454460371E-3</v>
      </c>
      <c r="E28" s="7">
        <v>0.56162835690771751</v>
      </c>
      <c r="F28" s="7">
        <v>0.1494238951133324</v>
      </c>
      <c r="G28" s="7">
        <v>0.22327040713460966</v>
      </c>
      <c r="H28" s="7">
        <v>1.9761837767806817E-3</v>
      </c>
    </row>
    <row r="29" spans="1:8" ht="35.35" customHeight="1">
      <c r="A29" s="2">
        <v>2050</v>
      </c>
      <c r="B29" s="7">
        <v>3.2086205301214525E-2</v>
      </c>
      <c r="C29" s="7">
        <v>2.9656570250375065E-2</v>
      </c>
      <c r="D29" s="7">
        <v>1.7331430464631798E-3</v>
      </c>
      <c r="E29" s="7">
        <v>0.55964251681681521</v>
      </c>
      <c r="F29" s="7">
        <v>0.15158646730595687</v>
      </c>
      <c r="G29" s="7">
        <v>0.22332590101455041</v>
      </c>
      <c r="H29" s="7">
        <v>1.9691962646249043E-3</v>
      </c>
    </row>
    <row r="30" spans="1:8" ht="4.5" customHeight="1"/>
    <row r="31" spans="1:8" ht="4.5" customHeight="1"/>
    <row r="32" spans="1:8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00"/>
  <sheetViews>
    <sheetView workbookViewId="0">
      <selection activeCell="H4" sqref="H4"/>
    </sheetView>
  </sheetViews>
  <sheetFormatPr defaultRowHeight="13.5"/>
  <cols>
    <col min="1" max="1" width="34" customWidth="1"/>
    <col min="2" max="2" width="18" customWidth="1"/>
    <col min="3" max="3" width="20" customWidth="1"/>
    <col min="4" max="4" width="26" customWidth="1"/>
  </cols>
  <sheetData>
    <row r="1" spans="1:4" ht="50.35" customHeight="1">
      <c r="A1" s="14" t="s">
        <v>657</v>
      </c>
      <c r="B1" s="14"/>
      <c r="C1" s="14"/>
      <c r="D1" s="14"/>
    </row>
    <row r="2" spans="1:4" ht="35.35" customHeight="1">
      <c r="A2" s="15" t="s">
        <v>403</v>
      </c>
      <c r="B2" s="15"/>
      <c r="C2" s="15"/>
      <c r="D2" s="15"/>
    </row>
    <row r="3" spans="1:4" ht="27.75" customHeight="1"/>
    <row r="4" spans="1:4" ht="44.35" customHeight="1">
      <c r="A4" s="3" t="s">
        <v>404</v>
      </c>
      <c r="B4" s="3" t="s">
        <v>405</v>
      </c>
      <c r="C4" s="3" t="s">
        <v>406</v>
      </c>
      <c r="D4" s="3" t="s">
        <v>407</v>
      </c>
    </row>
    <row r="5" spans="1:4" ht="35.35" customHeight="1">
      <c r="A5" s="2" t="s">
        <v>408</v>
      </c>
      <c r="B5" s="2">
        <v>0</v>
      </c>
      <c r="C5" s="7">
        <v>-2.5003362450414943E-2</v>
      </c>
      <c r="D5" s="2" t="s">
        <v>409</v>
      </c>
    </row>
    <row r="6" spans="1:4" ht="35.35" customHeight="1">
      <c r="A6" s="2" t="s">
        <v>408</v>
      </c>
      <c r="B6" s="2">
        <v>0.45800000000000002</v>
      </c>
      <c r="C6" s="7">
        <v>2.5003362440100471E-2</v>
      </c>
      <c r="D6" s="2" t="s">
        <v>410</v>
      </c>
    </row>
    <row r="7" spans="1:4" ht="35.35" customHeight="1">
      <c r="A7" s="2" t="s">
        <v>411</v>
      </c>
      <c r="B7" s="2">
        <v>2032</v>
      </c>
      <c r="C7" s="7">
        <v>0.32579992478871361</v>
      </c>
      <c r="D7" s="2" t="s">
        <v>410</v>
      </c>
    </row>
    <row r="8" spans="1:4" ht="35.35" customHeight="1">
      <c r="A8" s="2" t="s">
        <v>411</v>
      </c>
      <c r="B8" s="2">
        <v>2028</v>
      </c>
      <c r="C8" s="7">
        <v>-0.40217629442796243</v>
      </c>
      <c r="D8" s="2" t="s">
        <v>409</v>
      </c>
    </row>
    <row r="9" spans="1:4" ht="35.35" customHeight="1">
      <c r="A9" s="2" t="s">
        <v>412</v>
      </c>
      <c r="B9" s="2">
        <v>0.379</v>
      </c>
      <c r="C9" s="7">
        <v>-5.7577740037940583E-2</v>
      </c>
      <c r="D9" s="2" t="s">
        <v>409</v>
      </c>
    </row>
    <row r="10" spans="1:4" ht="35.35" customHeight="1">
      <c r="A10" s="2" t="s">
        <v>412</v>
      </c>
      <c r="B10" s="2">
        <v>0.42899999999999999</v>
      </c>
      <c r="C10" s="7">
        <v>5.7577740037940257E-2</v>
      </c>
      <c r="D10" s="2" t="s">
        <v>410</v>
      </c>
    </row>
    <row r="11" spans="1:4" ht="35.35" customHeight="1">
      <c r="A11" s="2" t="s">
        <v>413</v>
      </c>
      <c r="B11" s="2">
        <v>0.33</v>
      </c>
      <c r="C11" s="7">
        <v>0.1089538431211118</v>
      </c>
      <c r="D11" s="2" t="s">
        <v>410</v>
      </c>
    </row>
    <row r="12" spans="1:4" ht="35.35" customHeight="1">
      <c r="A12" s="2" t="s">
        <v>413</v>
      </c>
      <c r="B12" s="2">
        <v>0.42</v>
      </c>
      <c r="C12" s="7">
        <v>-8.5606591023731429E-2</v>
      </c>
      <c r="D12" s="2" t="s">
        <v>409</v>
      </c>
    </row>
    <row r="13" spans="1:4" ht="35.35" customHeight="1">
      <c r="A13" s="2" t="s">
        <v>414</v>
      </c>
      <c r="B13" s="2">
        <v>1</v>
      </c>
      <c r="C13" s="7">
        <v>-0.39949742477741101</v>
      </c>
      <c r="D13" s="2" t="s">
        <v>409</v>
      </c>
    </row>
    <row r="14" spans="1:4" ht="35.35" customHeight="1">
      <c r="A14" s="2" t="s">
        <v>414</v>
      </c>
      <c r="B14" s="2">
        <v>5</v>
      </c>
      <c r="C14" s="7">
        <v>1.1984922743322339</v>
      </c>
      <c r="D14" s="2" t="s">
        <v>410</v>
      </c>
    </row>
    <row r="15" spans="1:4" ht="35.35" customHeight="1">
      <c r="A15" s="2" t="s">
        <v>415</v>
      </c>
      <c r="B15" s="2">
        <v>0.4</v>
      </c>
      <c r="C15" s="7">
        <v>-7.6817193484094964E-2</v>
      </c>
      <c r="D15" s="2" t="s">
        <v>409</v>
      </c>
    </row>
    <row r="16" spans="1:4" ht="35.35" customHeight="1">
      <c r="A16" s="2" t="s">
        <v>415</v>
      </c>
      <c r="B16" s="2">
        <v>1.341</v>
      </c>
      <c r="C16" s="7">
        <v>0.13704369133405089</v>
      </c>
      <c r="D16" s="2" t="s">
        <v>410</v>
      </c>
    </row>
    <row r="17" spans="1:4" ht="35.35" customHeight="1">
      <c r="A17" s="2" t="s">
        <v>416</v>
      </c>
      <c r="B17" s="2">
        <v>15</v>
      </c>
      <c r="C17" s="7">
        <v>8.3862557383523564E-2</v>
      </c>
      <c r="D17" s="2" t="s">
        <v>410</v>
      </c>
    </row>
    <row r="18" spans="1:4" ht="35.35" customHeight="1">
      <c r="A18" s="2" t="s">
        <v>416</v>
      </c>
      <c r="B18" s="2">
        <v>5</v>
      </c>
      <c r="C18" s="7">
        <v>-8.3862557383523786E-2</v>
      </c>
      <c r="D18" s="2" t="s">
        <v>409</v>
      </c>
    </row>
    <row r="19" spans="1:4" ht="35.35" customHeight="1">
      <c r="A19" s="2" t="s">
        <v>417</v>
      </c>
      <c r="B19" s="2">
        <v>2.09</v>
      </c>
      <c r="C19" s="7">
        <v>-1.4668726525860056E-3</v>
      </c>
      <c r="D19" s="2" t="s">
        <v>409</v>
      </c>
    </row>
    <row r="20" spans="1:4" ht="35.35" customHeight="1">
      <c r="A20" s="2" t="s">
        <v>417</v>
      </c>
      <c r="B20" s="2">
        <v>10.37</v>
      </c>
      <c r="C20" s="7">
        <v>1.2025131855261759E-3</v>
      </c>
      <c r="D20" s="2" t="s">
        <v>410</v>
      </c>
    </row>
    <row r="21" spans="1:4" ht="35.35" customHeight="1">
      <c r="A21" s="2" t="s">
        <v>418</v>
      </c>
      <c r="B21" s="2">
        <v>24.7</v>
      </c>
      <c r="C21" s="7">
        <v>-4.7443356692449742E-2</v>
      </c>
      <c r="D21" s="2" t="s">
        <v>409</v>
      </c>
    </row>
    <row r="22" spans="1:4" ht="35.35" customHeight="1">
      <c r="A22" s="2" t="s">
        <v>418</v>
      </c>
      <c r="B22" s="2">
        <v>36</v>
      </c>
      <c r="C22" s="7">
        <v>3.2573050863472584E-2</v>
      </c>
      <c r="D22" s="2" t="s">
        <v>410</v>
      </c>
    </row>
    <row r="23" spans="1:4" ht="35.35" customHeight="1">
      <c r="A23" s="2" t="s">
        <v>419</v>
      </c>
      <c r="B23" s="2">
        <v>1.5</v>
      </c>
      <c r="C23" s="7">
        <v>1.1483705008009694E-2</v>
      </c>
      <c r="D23" s="2" t="s">
        <v>410</v>
      </c>
    </row>
    <row r="24" spans="1:4" ht="35.35" customHeight="1">
      <c r="A24" s="2" t="s">
        <v>419</v>
      </c>
      <c r="B24" s="2">
        <v>2.5</v>
      </c>
      <c r="C24" s="7">
        <v>-6.8902230048062041E-3</v>
      </c>
      <c r="D24" s="2" t="s">
        <v>409</v>
      </c>
    </row>
    <row r="25" spans="1:4" ht="35.35" customHeight="1">
      <c r="A25" s="2" t="s">
        <v>420</v>
      </c>
      <c r="B25" s="2">
        <v>1</v>
      </c>
      <c r="C25" s="7">
        <v>-1.1045580366669598E-2</v>
      </c>
      <c r="D25" s="2" t="s">
        <v>409</v>
      </c>
    </row>
    <row r="26" spans="1:4" ht="35.35" customHeight="1">
      <c r="A26" s="2" t="s">
        <v>420</v>
      </c>
      <c r="B26" s="2">
        <v>2</v>
      </c>
      <c r="C26" s="7">
        <v>1.1045580366669168E-2</v>
      </c>
      <c r="D26" s="2" t="s">
        <v>410</v>
      </c>
    </row>
    <row r="27" spans="1:4" ht="35.35" customHeight="1">
      <c r="A27" s="2" t="s">
        <v>421</v>
      </c>
      <c r="B27" s="2">
        <v>1.08</v>
      </c>
      <c r="C27" s="7">
        <v>-3.3230581393325721E-2</v>
      </c>
      <c r="D27" s="2" t="s">
        <v>409</v>
      </c>
    </row>
    <row r="28" spans="1:4" ht="35.35" customHeight="1">
      <c r="A28" s="2" t="s">
        <v>421</v>
      </c>
      <c r="B28" s="2">
        <v>1.2</v>
      </c>
      <c r="C28" s="7">
        <v>6.6461162786651012E-2</v>
      </c>
      <c r="D28" s="2" t="s">
        <v>410</v>
      </c>
    </row>
    <row r="29" spans="1:4" ht="4.5" customHeight="1"/>
    <row r="30" spans="1:4" ht="4.5" customHeight="1"/>
    <row r="31" spans="1:4" ht="4.5" customHeight="1"/>
    <row r="32" spans="1:4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D1"/>
    <mergeCell ref="A2:D2"/>
  </mergeCells>
  <phoneticPr fontId="6" type="noConversion"/>
  <conditionalFormatting sqref="C5:C28">
    <cfRule type="colorScale" priority="1">
      <colorScale>
        <cfvo type="min"/>
        <cfvo type="percentile" val="50"/>
        <cfvo type="max"/>
        <color rgb="FFC6EFCE"/>
        <color rgb="FFFFFFFF"/>
        <color rgb="FFFFC7CE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0"/>
  <sheetViews>
    <sheetView workbookViewId="0">
      <selection activeCell="I10" sqref="I10"/>
    </sheetView>
  </sheetViews>
  <sheetFormatPr defaultRowHeight="13.5"/>
  <cols>
    <col min="1" max="1" width="18" customWidth="1"/>
    <col min="2" max="8" width="16" customWidth="1"/>
  </cols>
  <sheetData>
    <row r="1" spans="1:8" ht="33.85" customHeight="1">
      <c r="A1" s="14" t="s">
        <v>658</v>
      </c>
      <c r="B1" s="14"/>
      <c r="C1" s="14"/>
      <c r="D1" s="14"/>
      <c r="E1" s="14"/>
      <c r="F1" s="14"/>
      <c r="G1" s="14"/>
      <c r="H1" s="14"/>
    </row>
    <row r="2" spans="1:8" ht="33.85" customHeight="1">
      <c r="A2" s="15" t="s">
        <v>659</v>
      </c>
      <c r="B2" s="15"/>
      <c r="C2" s="15"/>
      <c r="D2" s="15"/>
      <c r="E2" s="15"/>
      <c r="F2" s="15"/>
      <c r="G2" s="15"/>
      <c r="H2" s="15"/>
    </row>
    <row r="3" spans="1:8" ht="33.85" customHeight="1"/>
    <row r="4" spans="1:8" ht="33.85" customHeight="1">
      <c r="A4" s="3" t="s">
        <v>422</v>
      </c>
      <c r="B4" s="3" t="s">
        <v>423</v>
      </c>
      <c r="C4" s="3" t="s">
        <v>424</v>
      </c>
      <c r="D4" s="3" t="s">
        <v>425</v>
      </c>
      <c r="E4" s="3" t="s">
        <v>426</v>
      </c>
      <c r="F4" s="3" t="s">
        <v>427</v>
      </c>
      <c r="G4" s="3" t="s">
        <v>428</v>
      </c>
      <c r="H4" s="3" t="s">
        <v>429</v>
      </c>
    </row>
    <row r="5" spans="1:8" ht="33.85" customHeight="1">
      <c r="A5" s="2" t="s">
        <v>430</v>
      </c>
      <c r="B5" s="8">
        <v>183445.72078771013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</row>
    <row r="6" spans="1:8" ht="33.85" customHeight="1">
      <c r="A6" s="2" t="s">
        <v>431</v>
      </c>
      <c r="B6" s="8">
        <v>0</v>
      </c>
      <c r="C6" s="8">
        <v>135508.21566450596</v>
      </c>
      <c r="D6" s="8">
        <v>7919.1598939058422</v>
      </c>
      <c r="E6" s="8">
        <v>0</v>
      </c>
      <c r="F6" s="8">
        <v>0</v>
      </c>
      <c r="G6" s="8">
        <v>0</v>
      </c>
      <c r="H6" s="8">
        <v>8997.7455201231915</v>
      </c>
    </row>
    <row r="7" spans="1:8" ht="33.85" customHeight="1">
      <c r="A7" s="2" t="s">
        <v>432</v>
      </c>
      <c r="B7" s="8">
        <v>0</v>
      </c>
      <c r="C7" s="8">
        <v>178297.10613795801</v>
      </c>
      <c r="D7" s="8">
        <v>10419.761526658716</v>
      </c>
      <c r="E7" s="8">
        <v>3210254.0707976036</v>
      </c>
      <c r="F7" s="8">
        <v>0</v>
      </c>
      <c r="G7" s="8">
        <v>1008019.7782304474</v>
      </c>
      <c r="H7" s="8">
        <v>11838.927847560413</v>
      </c>
    </row>
    <row r="8" spans="1:8" ht="33.85" customHeight="1">
      <c r="A8" s="2" t="s">
        <v>433</v>
      </c>
      <c r="B8" s="8">
        <v>0</v>
      </c>
      <c r="C8" s="8">
        <v>159193.84476603413</v>
      </c>
      <c r="D8" s="8">
        <v>9303.3585059452744</v>
      </c>
      <c r="E8" s="8">
        <v>2866298.2774978676</v>
      </c>
      <c r="F8" s="8">
        <v>0</v>
      </c>
      <c r="G8" s="8">
        <v>900017.65913433081</v>
      </c>
      <c r="H8" s="8">
        <v>10570.471292464645</v>
      </c>
    </row>
    <row r="9" spans="1:8" ht="33.85" customHeight="1">
      <c r="A9" s="2" t="s">
        <v>434</v>
      </c>
      <c r="B9" s="8">
        <v>222795.13723219716</v>
      </c>
      <c r="C9" s="8">
        <v>205924.62015190395</v>
      </c>
      <c r="D9" s="8">
        <v>12034.325631681242</v>
      </c>
      <c r="E9" s="8">
        <v>3885957.5373487682</v>
      </c>
      <c r="F9" s="8">
        <v>0</v>
      </c>
      <c r="G9" s="8">
        <v>1220190.6667275131</v>
      </c>
      <c r="H9" s="8">
        <v>13673.394778086426</v>
      </c>
    </row>
    <row r="10" spans="1:8" ht="33.85" customHeight="1">
      <c r="A10" s="2" t="s">
        <v>435</v>
      </c>
      <c r="B10" s="8">
        <v>0</v>
      </c>
      <c r="C10" s="8">
        <v>0</v>
      </c>
      <c r="D10" s="8">
        <v>0</v>
      </c>
      <c r="E10" s="8">
        <v>3204102.194584012</v>
      </c>
      <c r="F10" s="8">
        <v>704584.30637636012</v>
      </c>
      <c r="G10" s="8">
        <v>1227327.5613015553</v>
      </c>
      <c r="H10" s="8">
        <v>0</v>
      </c>
    </row>
    <row r="11" spans="1:8" ht="33.85" customHeight="1">
      <c r="A11" s="2" t="s">
        <v>436</v>
      </c>
      <c r="B11" s="8">
        <v>0</v>
      </c>
      <c r="C11" s="8">
        <v>0</v>
      </c>
      <c r="D11" s="8">
        <v>0</v>
      </c>
      <c r="E11" s="8">
        <v>344300.09339313611</v>
      </c>
      <c r="F11" s="8">
        <v>75711.830571064274</v>
      </c>
      <c r="G11" s="8">
        <v>131883.74412475855</v>
      </c>
      <c r="H11" s="8">
        <v>0</v>
      </c>
    </row>
    <row r="12" spans="1:8" ht="33.85" customHeight="1">
      <c r="A12" s="2" t="s">
        <v>437</v>
      </c>
      <c r="B12" s="8">
        <v>0</v>
      </c>
      <c r="C12" s="8">
        <v>0</v>
      </c>
      <c r="D12" s="8">
        <v>0</v>
      </c>
      <c r="E12" s="8">
        <v>0</v>
      </c>
      <c r="F12" s="8">
        <v>705928.75405816466</v>
      </c>
      <c r="G12" s="8">
        <v>221661.62877426366</v>
      </c>
      <c r="H12" s="8">
        <v>0</v>
      </c>
    </row>
    <row r="13" spans="1:8" ht="33.85" customHeight="1">
      <c r="A13" s="2" t="s">
        <v>438</v>
      </c>
      <c r="B13" s="8">
        <v>0</v>
      </c>
      <c r="C13" s="8">
        <v>0</v>
      </c>
      <c r="D13" s="8">
        <v>0</v>
      </c>
      <c r="E13" s="8">
        <v>0</v>
      </c>
      <c r="F13" s="8">
        <v>705937.10824460338</v>
      </c>
      <c r="G13" s="8">
        <v>221664.25198880525</v>
      </c>
      <c r="H13" s="8">
        <v>0</v>
      </c>
    </row>
    <row r="14" spans="1:8" ht="33.85" customHeight="1">
      <c r="A14" s="2" t="s">
        <v>439</v>
      </c>
      <c r="B14" s="8">
        <v>0</v>
      </c>
      <c r="C14" s="8">
        <v>0</v>
      </c>
      <c r="D14" s="8">
        <v>0</v>
      </c>
      <c r="E14" s="8">
        <v>0</v>
      </c>
      <c r="F14" s="8">
        <v>459547.96579597821</v>
      </c>
      <c r="G14" s="8">
        <v>144298.06125993747</v>
      </c>
      <c r="H14" s="8">
        <v>0</v>
      </c>
    </row>
    <row r="15" spans="1:8" ht="33.85" customHeight="1">
      <c r="A15" s="2" t="s">
        <v>440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1231853.5633606943</v>
      </c>
      <c r="H15" s="8">
        <v>0</v>
      </c>
    </row>
    <row r="16" spans="1:8" ht="33.85" customHeight="1">
      <c r="A16" s="2" t="s">
        <v>441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11843.092451499404</v>
      </c>
    </row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topLeftCell="A16" workbookViewId="0">
      <selection activeCell="K7" sqref="K7"/>
    </sheetView>
  </sheetViews>
  <sheetFormatPr defaultRowHeight="13.5"/>
  <cols>
    <col min="1" max="1" width="18" customWidth="1"/>
    <col min="2" max="8" width="16" customWidth="1"/>
  </cols>
  <sheetData>
    <row r="1" spans="1:8" ht="35.75" customHeight="1">
      <c r="A1" s="14" t="s">
        <v>660</v>
      </c>
      <c r="B1" s="14"/>
      <c r="C1" s="14"/>
      <c r="D1" s="14"/>
      <c r="E1" s="14"/>
      <c r="F1" s="14"/>
      <c r="G1" s="14"/>
      <c r="H1" s="14"/>
    </row>
    <row r="2" spans="1:8" ht="35.75" customHeight="1">
      <c r="A2" s="15" t="s">
        <v>661</v>
      </c>
      <c r="B2" s="15"/>
      <c r="C2" s="15"/>
      <c r="D2" s="15"/>
      <c r="E2" s="15"/>
      <c r="F2" s="15"/>
      <c r="G2" s="15"/>
      <c r="H2" s="15"/>
    </row>
    <row r="3" spans="1:8" ht="35.75" customHeight="1"/>
    <row r="4" spans="1:8" ht="35.75" customHeight="1">
      <c r="A4" s="3" t="s">
        <v>422</v>
      </c>
      <c r="B4" s="3" t="s">
        <v>423</v>
      </c>
      <c r="C4" s="3" t="s">
        <v>424</v>
      </c>
      <c r="D4" s="3" t="s">
        <v>425</v>
      </c>
      <c r="E4" s="3" t="s">
        <v>426</v>
      </c>
      <c r="F4" s="3" t="s">
        <v>427</v>
      </c>
      <c r="G4" s="3" t="s">
        <v>428</v>
      </c>
      <c r="H4" s="3" t="s">
        <v>429</v>
      </c>
    </row>
    <row r="5" spans="1:8" ht="35.75" customHeight="1">
      <c r="A5" s="2" t="s">
        <v>430</v>
      </c>
      <c r="B5" s="8">
        <v>183445.72078770996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</row>
    <row r="6" spans="1:8" ht="35.75" customHeight="1">
      <c r="A6" s="2" t="s">
        <v>431</v>
      </c>
      <c r="B6" s="8">
        <v>0</v>
      </c>
      <c r="C6" s="8">
        <v>225847.02610750974</v>
      </c>
      <c r="D6" s="8">
        <v>13198.599823176419</v>
      </c>
      <c r="E6" s="8">
        <v>0</v>
      </c>
      <c r="F6" s="8">
        <v>0</v>
      </c>
      <c r="G6" s="8">
        <v>0</v>
      </c>
      <c r="H6" s="8">
        <v>14996.242533538649</v>
      </c>
    </row>
    <row r="7" spans="1:8" ht="35.75" customHeight="1">
      <c r="A7" s="2" t="s">
        <v>432</v>
      </c>
      <c r="B7" s="8">
        <v>0</v>
      </c>
      <c r="C7" s="8">
        <v>178297.10613795806</v>
      </c>
      <c r="D7" s="8">
        <v>10419.761526658715</v>
      </c>
      <c r="E7" s="8">
        <v>3210254.0707976036</v>
      </c>
      <c r="F7" s="8">
        <v>0</v>
      </c>
      <c r="G7" s="8">
        <v>1008019.7782304476</v>
      </c>
      <c r="H7" s="8">
        <v>11838.92784756041</v>
      </c>
    </row>
    <row r="8" spans="1:8" ht="35.75" customHeight="1">
      <c r="A8" s="2" t="s">
        <v>433</v>
      </c>
      <c r="B8" s="8">
        <v>0</v>
      </c>
      <c r="C8" s="8">
        <v>202610.34788404312</v>
      </c>
      <c r="D8" s="8">
        <v>11840.638098475805</v>
      </c>
      <c r="E8" s="8">
        <v>3648015.9895427227</v>
      </c>
      <c r="F8" s="8">
        <v>0</v>
      </c>
      <c r="G8" s="8">
        <v>1145477.0207164139</v>
      </c>
      <c r="H8" s="8">
        <v>13453.327099500495</v>
      </c>
    </row>
    <row r="9" spans="1:8" ht="35.75" customHeight="1">
      <c r="A9" s="2" t="s">
        <v>434</v>
      </c>
      <c r="B9" s="8">
        <v>180484.62815737334</v>
      </c>
      <c r="C9" s="8">
        <v>166817.95194582752</v>
      </c>
      <c r="D9" s="8">
        <v>9748.9146924022152</v>
      </c>
      <c r="E9" s="8">
        <v>3147984.3316004737</v>
      </c>
      <c r="F9" s="8">
        <v>0</v>
      </c>
      <c r="G9" s="8">
        <v>988467.08012254909</v>
      </c>
      <c r="H9" s="8">
        <v>11076.712009202956</v>
      </c>
    </row>
    <row r="10" spans="1:8" ht="35.75" customHeight="1">
      <c r="A10" s="2" t="s">
        <v>435</v>
      </c>
      <c r="B10" s="8">
        <v>0</v>
      </c>
      <c r="C10" s="8">
        <v>0</v>
      </c>
      <c r="D10" s="8">
        <v>0</v>
      </c>
      <c r="E10" s="8">
        <v>3204102.1945840023</v>
      </c>
      <c r="F10" s="8">
        <v>704584.30637636245</v>
      </c>
      <c r="G10" s="8">
        <v>1227327.5613015553</v>
      </c>
      <c r="H10" s="8">
        <v>0</v>
      </c>
    </row>
    <row r="11" spans="1:8" ht="35.75" customHeight="1">
      <c r="A11" s="2" t="s">
        <v>436</v>
      </c>
      <c r="B11" s="8">
        <v>0</v>
      </c>
      <c r="C11" s="8">
        <v>0</v>
      </c>
      <c r="D11" s="8">
        <v>0</v>
      </c>
      <c r="E11" s="8">
        <v>343783.90134906839</v>
      </c>
      <c r="F11" s="8">
        <v>75598.319580702853</v>
      </c>
      <c r="G11" s="8">
        <v>131686.01737194823</v>
      </c>
      <c r="H11" s="8">
        <v>0</v>
      </c>
    </row>
    <row r="12" spans="1:8" ht="35.75" customHeight="1">
      <c r="A12" s="2" t="s">
        <v>437</v>
      </c>
      <c r="B12" s="8">
        <v>0</v>
      </c>
      <c r="C12" s="8">
        <v>0</v>
      </c>
      <c r="D12" s="8">
        <v>0</v>
      </c>
      <c r="E12" s="8">
        <v>0</v>
      </c>
      <c r="F12" s="8">
        <v>706000.3321549457</v>
      </c>
      <c r="G12" s="8">
        <v>221684.10429665295</v>
      </c>
      <c r="H12" s="8">
        <v>0</v>
      </c>
    </row>
    <row r="13" spans="1:8" ht="35.75" customHeight="1">
      <c r="A13" s="2" t="s">
        <v>438</v>
      </c>
      <c r="B13" s="8">
        <v>0</v>
      </c>
      <c r="C13" s="8">
        <v>0</v>
      </c>
      <c r="D13" s="8">
        <v>0</v>
      </c>
      <c r="E13" s="8">
        <v>0</v>
      </c>
      <c r="F13" s="8">
        <v>705937.1082446042</v>
      </c>
      <c r="G13" s="8">
        <v>221664.25198880612</v>
      </c>
      <c r="H13" s="8">
        <v>0</v>
      </c>
    </row>
    <row r="14" spans="1:8" ht="35.75" customHeight="1">
      <c r="A14" s="2" t="s">
        <v>439</v>
      </c>
      <c r="B14" s="8">
        <v>0</v>
      </c>
      <c r="C14" s="8">
        <v>0</v>
      </c>
      <c r="D14" s="8">
        <v>0</v>
      </c>
      <c r="E14" s="8">
        <v>0</v>
      </c>
      <c r="F14" s="8">
        <v>459547.9656064114</v>
      </c>
      <c r="G14" s="8">
        <v>144298.06120041353</v>
      </c>
      <c r="H14" s="8">
        <v>0</v>
      </c>
    </row>
    <row r="15" spans="1:8" ht="35.75" customHeight="1">
      <c r="A15" s="2" t="s">
        <v>440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1233868.4536708321</v>
      </c>
      <c r="H15" s="8">
        <v>0</v>
      </c>
    </row>
    <row r="16" spans="1:8" ht="35.75" customHeight="1">
      <c r="A16" s="2" t="s">
        <v>441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11833.597969654507</v>
      </c>
    </row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>
      <selection activeCell="J10" sqref="J10"/>
    </sheetView>
  </sheetViews>
  <sheetFormatPr defaultRowHeight="13.5"/>
  <cols>
    <col min="1" max="1" width="10" customWidth="1"/>
    <col min="2" max="2" width="26.875" customWidth="1"/>
    <col min="3" max="3" width="27.625" customWidth="1"/>
    <col min="4" max="4" width="16.75" customWidth="1"/>
    <col min="5" max="5" width="19.875" customWidth="1"/>
    <col min="6" max="6" width="24.4375" customWidth="1"/>
  </cols>
  <sheetData>
    <row r="1" spans="1:6" ht="33.4" customHeight="1">
      <c r="A1" s="14" t="s">
        <v>662</v>
      </c>
      <c r="B1" s="14"/>
      <c r="C1" s="14"/>
      <c r="D1" s="14"/>
      <c r="E1" s="14"/>
      <c r="F1" s="14"/>
    </row>
    <row r="2" spans="1:6" ht="22.9" customHeight="1">
      <c r="A2" s="15" t="s">
        <v>442</v>
      </c>
      <c r="B2" s="15"/>
      <c r="C2" s="15"/>
      <c r="D2" s="15"/>
      <c r="E2" s="15"/>
      <c r="F2" s="15"/>
    </row>
    <row r="3" spans="1:6" ht="22.9" customHeight="1"/>
    <row r="4" spans="1:6" ht="22.9" customHeight="1">
      <c r="A4" s="3" t="s">
        <v>443</v>
      </c>
      <c r="B4" s="3" t="s">
        <v>57</v>
      </c>
      <c r="C4" s="3" t="s">
        <v>444</v>
      </c>
      <c r="D4" s="3" t="s">
        <v>445</v>
      </c>
      <c r="E4" s="3" t="s">
        <v>446</v>
      </c>
      <c r="F4" s="3" t="s">
        <v>447</v>
      </c>
    </row>
    <row r="5" spans="1:6" ht="22.9" customHeight="1">
      <c r="A5" s="2">
        <v>1</v>
      </c>
      <c r="B5" s="5">
        <v>5.0000000000000997E+26</v>
      </c>
      <c r="C5" s="4">
        <v>0.23491249609863285</v>
      </c>
      <c r="D5" s="2">
        <v>1</v>
      </c>
      <c r="E5" s="6">
        <v>5518</v>
      </c>
      <c r="F5" s="4">
        <v>0.43008217320849479</v>
      </c>
    </row>
    <row r="6" spans="1:6" ht="22.9" customHeight="1">
      <c r="A6" s="2">
        <v>2</v>
      </c>
      <c r="B6" s="5">
        <v>3.8000000000000002E+26</v>
      </c>
      <c r="C6" s="4">
        <v>0.41344599313359032</v>
      </c>
      <c r="D6" s="2">
        <v>2</v>
      </c>
      <c r="E6" s="6">
        <v>1735</v>
      </c>
      <c r="F6" s="4">
        <v>0.565310982653355</v>
      </c>
    </row>
    <row r="7" spans="1:6" ht="22.9" customHeight="1">
      <c r="A7" s="2">
        <v>3</v>
      </c>
      <c r="B7" s="5">
        <v>3.4999999999999999E+26</v>
      </c>
      <c r="C7" s="4">
        <v>0.57788474040263005</v>
      </c>
      <c r="D7" s="2">
        <v>3</v>
      </c>
      <c r="E7" s="6">
        <v>879</v>
      </c>
      <c r="F7" s="4">
        <v>0.63382171666028986</v>
      </c>
    </row>
    <row r="8" spans="1:6" ht="22.9" customHeight="1">
      <c r="A8" s="2">
        <v>4</v>
      </c>
      <c r="B8" s="5">
        <v>6.6000000000000002E+25</v>
      </c>
      <c r="C8" s="4">
        <v>0.60889318988764896</v>
      </c>
      <c r="D8" s="2">
        <v>4</v>
      </c>
      <c r="E8" s="6">
        <v>313</v>
      </c>
      <c r="F8" s="4">
        <v>0.65821746153420413</v>
      </c>
    </row>
    <row r="9" spans="1:6" ht="22.9" customHeight="1">
      <c r="A9" s="2">
        <v>5</v>
      </c>
      <c r="B9" s="5">
        <v>5.1840000000000096E+25</v>
      </c>
      <c r="C9" s="4">
        <v>0.63324891748315482</v>
      </c>
      <c r="D9" s="2">
        <v>5</v>
      </c>
      <c r="E9" s="6">
        <v>286</v>
      </c>
      <c r="F9" s="4">
        <v>0.68050878113145485</v>
      </c>
    </row>
    <row r="10" spans="1:6" ht="22.9" customHeight="1">
      <c r="A10" s="2">
        <v>6</v>
      </c>
      <c r="B10" s="5">
        <v>5.0000000001E+25</v>
      </c>
      <c r="C10" s="4">
        <v>0.65674016709348748</v>
      </c>
      <c r="D10" s="2">
        <v>6</v>
      </c>
      <c r="E10" s="6">
        <v>271</v>
      </c>
      <c r="F10" s="4">
        <v>0.70163097557500365</v>
      </c>
    </row>
    <row r="11" spans="1:6" ht="22.9" customHeight="1">
      <c r="A11" s="2">
        <v>7</v>
      </c>
      <c r="B11" s="5">
        <v>3.9110010000000001E+25</v>
      </c>
      <c r="C11" s="4">
        <v>0.67511502723657213</v>
      </c>
      <c r="D11" s="2">
        <v>7</v>
      </c>
      <c r="E11" s="6">
        <v>257</v>
      </c>
      <c r="F11" s="4">
        <v>0.72166198654176394</v>
      </c>
    </row>
    <row r="12" spans="1:6" ht="22.9" customHeight="1">
      <c r="A12" s="2">
        <v>8</v>
      </c>
      <c r="B12" s="5">
        <v>3.8E+25</v>
      </c>
      <c r="C12" s="4">
        <v>0.69296837694006785</v>
      </c>
      <c r="D12" s="2">
        <v>8</v>
      </c>
      <c r="E12" s="6">
        <v>225</v>
      </c>
      <c r="F12" s="4">
        <v>0.73919886384729327</v>
      </c>
    </row>
    <row r="13" spans="1:6" ht="22.9" customHeight="1">
      <c r="A13" s="2">
        <v>9</v>
      </c>
      <c r="B13" s="5">
        <v>3.3500000000000002E+25</v>
      </c>
      <c r="C13" s="4">
        <v>0.70870751417867595</v>
      </c>
      <c r="D13" s="2">
        <v>9</v>
      </c>
      <c r="E13" s="6">
        <v>191</v>
      </c>
      <c r="F13" s="4">
        <v>0.75408572413776498</v>
      </c>
    </row>
    <row r="14" spans="1:6" ht="22.9" customHeight="1">
      <c r="A14" s="2">
        <v>10</v>
      </c>
      <c r="B14" s="5">
        <v>2.96E+25</v>
      </c>
      <c r="C14" s="4">
        <v>0.72261433394771468</v>
      </c>
      <c r="D14" s="2">
        <v>10</v>
      </c>
      <c r="E14" s="6">
        <v>180</v>
      </c>
      <c r="F14" s="4">
        <v>0.76811522598218851</v>
      </c>
    </row>
    <row r="15" spans="1:6" ht="22.9" customHeight="1">
      <c r="A15" s="2">
        <v>11</v>
      </c>
      <c r="B15" s="5">
        <v>2.7E+25</v>
      </c>
      <c r="C15" s="4">
        <v>0.73529960873704059</v>
      </c>
      <c r="D15" s="2">
        <v>11</v>
      </c>
      <c r="E15" s="6">
        <v>173</v>
      </c>
      <c r="F15" s="4">
        <v>0.78159913608821774</v>
      </c>
    </row>
    <row r="16" spans="1:6" ht="22.9" customHeight="1">
      <c r="A16" s="2">
        <v>12</v>
      </c>
      <c r="B16" s="5">
        <v>2.5049999999999999E+25</v>
      </c>
      <c r="C16" s="4">
        <v>0.74706872479158182</v>
      </c>
      <c r="D16" s="2">
        <v>12</v>
      </c>
      <c r="E16" s="6">
        <v>159</v>
      </c>
      <c r="F16" s="4">
        <v>0.79399186271745859</v>
      </c>
    </row>
    <row r="17" spans="1:6" ht="22.9" customHeight="1">
      <c r="A17" s="2">
        <v>13</v>
      </c>
      <c r="B17" s="5">
        <v>2.13E+25</v>
      </c>
      <c r="C17" s="4">
        <v>0.75707599712538332</v>
      </c>
      <c r="D17" s="2">
        <v>13</v>
      </c>
      <c r="E17" s="6">
        <v>141</v>
      </c>
      <c r="F17" s="4">
        <v>0.80498163916225707</v>
      </c>
    </row>
    <row r="18" spans="1:6" ht="22.9" customHeight="1">
      <c r="A18" s="2">
        <v>14</v>
      </c>
      <c r="B18" s="5">
        <v>2.0999999999999999E+25</v>
      </c>
      <c r="C18" s="4">
        <v>0.76694232196152567</v>
      </c>
      <c r="D18" s="2">
        <v>14</v>
      </c>
      <c r="E18" s="6">
        <v>120</v>
      </c>
      <c r="F18" s="4">
        <v>0.81433464039187275</v>
      </c>
    </row>
    <row r="19" spans="1:6" ht="22.9" customHeight="1">
      <c r="A19" s="2">
        <v>15</v>
      </c>
      <c r="B19" s="5">
        <v>1.8000000000000001E+25</v>
      </c>
      <c r="C19" s="4">
        <v>0.77539917182107632</v>
      </c>
      <c r="D19" s="2">
        <v>15</v>
      </c>
      <c r="E19" s="6">
        <v>111</v>
      </c>
      <c r="F19" s="4">
        <v>0.82298616652926726</v>
      </c>
    </row>
    <row r="20" spans="1:6" ht="22.9" customHeight="1">
      <c r="A20" s="2">
        <v>16</v>
      </c>
      <c r="B20" s="5">
        <v>1.5120000000000001E+25</v>
      </c>
      <c r="C20" s="4">
        <v>0.78250292570309887</v>
      </c>
      <c r="D20" s="2">
        <v>16</v>
      </c>
      <c r="E20" s="6">
        <v>105</v>
      </c>
      <c r="F20" s="4">
        <v>0.8311700426051809</v>
      </c>
    </row>
    <row r="21" spans="1:6" ht="22.9" customHeight="1">
      <c r="A21" s="2">
        <v>17</v>
      </c>
      <c r="B21" s="5">
        <v>1.1200000000000001E+25</v>
      </c>
      <c r="C21" s="4">
        <v>0.78776496561570819</v>
      </c>
      <c r="D21" s="2">
        <v>17</v>
      </c>
      <c r="E21" s="6">
        <v>97.911299999999997</v>
      </c>
      <c r="F21" s="4">
        <v>0.83880141351595816</v>
      </c>
    </row>
    <row r="22" spans="1:6" ht="22.9" customHeight="1">
      <c r="A22" s="2">
        <v>18</v>
      </c>
      <c r="B22" s="5">
        <v>1.0692E+25</v>
      </c>
      <c r="C22" s="4">
        <v>0.79278833443228125</v>
      </c>
      <c r="D22" s="2">
        <v>18</v>
      </c>
      <c r="E22" s="6">
        <v>94.247299999999996</v>
      </c>
      <c r="F22" s="4">
        <v>0.84614720612252448</v>
      </c>
    </row>
    <row r="23" spans="1:6" ht="22.9" customHeight="1">
      <c r="A23" s="2">
        <v>19</v>
      </c>
      <c r="B23" s="5">
        <v>1.05E+25</v>
      </c>
      <c r="C23" s="4">
        <v>0.79772149685035243</v>
      </c>
      <c r="D23" s="2">
        <v>19</v>
      </c>
      <c r="E23" s="6">
        <v>91.863700000000009</v>
      </c>
      <c r="F23" s="4">
        <v>0.85330721694799982</v>
      </c>
    </row>
    <row r="24" spans="1:6" ht="22.9" customHeight="1">
      <c r="A24" s="2">
        <v>20</v>
      </c>
      <c r="B24" s="5">
        <v>1.001E+25</v>
      </c>
      <c r="C24" s="4">
        <v>0.80242444502224697</v>
      </c>
      <c r="D24" s="2">
        <v>20</v>
      </c>
      <c r="E24" s="6">
        <v>82.286799999999999</v>
      </c>
      <c r="F24" s="4">
        <v>0.85972078812784258</v>
      </c>
    </row>
    <row r="25" spans="1:6" ht="22.9" customHeight="1">
      <c r="A25" s="2">
        <v>21</v>
      </c>
      <c r="B25" s="5">
        <v>9.8673599999999999E+24</v>
      </c>
      <c r="C25" s="4">
        <v>0.80706037735725444</v>
      </c>
      <c r="D25" s="2">
        <v>21</v>
      </c>
      <c r="E25" s="6">
        <v>75.578000000000003</v>
      </c>
      <c r="F25" s="4">
        <v>0.86561146418560841</v>
      </c>
    </row>
    <row r="26" spans="1:6" ht="22.9" customHeight="1">
      <c r="A26" s="2">
        <v>22</v>
      </c>
      <c r="B26" s="5">
        <v>9.5712E+24</v>
      </c>
      <c r="C26" s="4">
        <v>0.8115571663225728</v>
      </c>
      <c r="D26" s="2">
        <v>22</v>
      </c>
      <c r="E26" s="6">
        <v>70.889399999999995</v>
      </c>
      <c r="F26" s="4">
        <v>0.87113670289699774</v>
      </c>
    </row>
    <row r="27" spans="1:6" ht="22.9" customHeight="1">
      <c r="A27" s="2">
        <v>23</v>
      </c>
      <c r="B27" s="5">
        <v>9.2599999999999999E+24</v>
      </c>
      <c r="C27" s="4">
        <v>0.81590774575031932</v>
      </c>
      <c r="D27" s="2">
        <v>23</v>
      </c>
      <c r="E27" s="6">
        <v>69.055900000000008</v>
      </c>
      <c r="F27" s="4">
        <v>0.8765190355437662</v>
      </c>
    </row>
    <row r="28" spans="1:6" ht="22.9" customHeight="1">
      <c r="A28" s="2">
        <v>24</v>
      </c>
      <c r="B28" s="5">
        <v>8.4000100000000003E+24</v>
      </c>
      <c r="C28" s="4">
        <v>0.81985428038302621</v>
      </c>
      <c r="D28" s="2">
        <v>24</v>
      </c>
      <c r="E28" s="6">
        <v>67.850899999999996</v>
      </c>
      <c r="F28" s="4">
        <v>0.88180744846985382</v>
      </c>
    </row>
    <row r="29" spans="1:6" ht="22.9" customHeight="1">
      <c r="A29" s="2">
        <v>25</v>
      </c>
      <c r="B29" s="5">
        <v>8.0000010000000003E+24</v>
      </c>
      <c r="C29" s="4">
        <v>0.82361288079042927</v>
      </c>
      <c r="D29" s="2">
        <v>25</v>
      </c>
      <c r="E29" s="6">
        <v>67.00569999999999</v>
      </c>
      <c r="F29" s="4">
        <v>0.88702998509061437</v>
      </c>
    </row>
    <row r="30" spans="1:6" ht="22.9" customHeight="1">
      <c r="A30" s="2">
        <v>26</v>
      </c>
      <c r="B30" s="5">
        <v>7.9289999999999998E+24</v>
      </c>
      <c r="C30" s="4">
        <v>0.82733812315356126</v>
      </c>
      <c r="D30" s="2">
        <v>26</v>
      </c>
      <c r="E30" s="6">
        <v>65.058599999999998</v>
      </c>
      <c r="F30" s="4">
        <v>0.8921007614722567</v>
      </c>
    </row>
    <row r="31" spans="1:6" ht="22.9" customHeight="1">
      <c r="A31" s="2">
        <v>27</v>
      </c>
      <c r="B31" s="5">
        <v>7.8610000000000004E+24</v>
      </c>
      <c r="C31" s="4">
        <v>0.83103141741722397</v>
      </c>
      <c r="D31" s="2">
        <v>27</v>
      </c>
      <c r="E31" s="6">
        <v>54.535200000000003</v>
      </c>
      <c r="F31" s="4">
        <v>0.89635132641106785</v>
      </c>
    </row>
    <row r="32" spans="1:6" ht="22.9" customHeight="1">
      <c r="A32" s="2">
        <v>28</v>
      </c>
      <c r="B32" s="5">
        <v>7.7999999999999995E+24</v>
      </c>
      <c r="C32" s="4">
        <v>0.83469605235636246</v>
      </c>
      <c r="D32" s="2">
        <v>28</v>
      </c>
      <c r="E32" s="6">
        <v>52.8307</v>
      </c>
      <c r="F32" s="4">
        <v>0.90046903976157999</v>
      </c>
    </row>
    <row r="33" spans="1:6" ht="22.9" customHeight="1">
      <c r="A33" s="2">
        <v>29</v>
      </c>
      <c r="B33" s="5">
        <v>7.3399999999999997E+24</v>
      </c>
      <c r="C33" s="4">
        <v>0.8381445677990903</v>
      </c>
      <c r="D33" s="2">
        <v>29</v>
      </c>
      <c r="E33" s="6">
        <v>47.023699999999998</v>
      </c>
      <c r="F33" s="4">
        <v>0.90413414579425566</v>
      </c>
    </row>
    <row r="34" spans="1:6" ht="22.9" customHeight="1">
      <c r="A34" s="2">
        <v>30</v>
      </c>
      <c r="B34" s="5">
        <v>7.0847999999999998E+24</v>
      </c>
      <c r="C34" s="4">
        <v>0.84147318390380943</v>
      </c>
      <c r="D34" s="2">
        <v>30</v>
      </c>
      <c r="E34" s="6">
        <v>37.511400000000002</v>
      </c>
      <c r="F34" s="4">
        <v>0.90705784721362737</v>
      </c>
    </row>
    <row r="35" spans="1:6" ht="22.9" customHeight="1">
      <c r="A35" s="2">
        <v>31</v>
      </c>
      <c r="B35" s="5">
        <v>6.9000000000000003E+24</v>
      </c>
      <c r="C35" s="4">
        <v>0.8447149763499705</v>
      </c>
      <c r="D35" s="2">
        <v>31</v>
      </c>
      <c r="E35" s="6">
        <v>34.441099999999999</v>
      </c>
      <c r="F35" s="4">
        <v>0.90974224430237161</v>
      </c>
    </row>
    <row r="36" spans="1:6" ht="22.9" customHeight="1">
      <c r="A36" s="2">
        <v>32</v>
      </c>
      <c r="B36" s="5">
        <v>6.8649768000000001E+24</v>
      </c>
      <c r="C36" s="4">
        <v>0.84794031402146486</v>
      </c>
      <c r="D36" s="2">
        <v>32</v>
      </c>
      <c r="E36" s="6">
        <v>34.218499999999999</v>
      </c>
      <c r="F36" s="4">
        <v>0.9124092915738351</v>
      </c>
    </row>
    <row r="37" spans="1:6" ht="22.9" customHeight="1">
      <c r="A37" s="2">
        <v>33</v>
      </c>
      <c r="B37" s="5">
        <v>6.7399999999999998E+24</v>
      </c>
      <c r="C37" s="4">
        <v>0.85110693446887431</v>
      </c>
      <c r="D37" s="2">
        <v>33</v>
      </c>
      <c r="E37" s="6">
        <v>33.104199999999999</v>
      </c>
      <c r="F37" s="4">
        <v>0.91498948843471373</v>
      </c>
    </row>
    <row r="38" spans="1:6" ht="22.9" customHeight="1">
      <c r="A38" s="2">
        <v>34</v>
      </c>
      <c r="B38" s="5">
        <v>6.7200000000000004E+24</v>
      </c>
      <c r="C38" s="4">
        <v>0.85426415841643988</v>
      </c>
      <c r="D38" s="2">
        <v>34</v>
      </c>
      <c r="E38" s="6">
        <v>32.8309</v>
      </c>
      <c r="F38" s="4">
        <v>0.91754838383529203</v>
      </c>
    </row>
    <row r="39" spans="1:6" ht="22.9" customHeight="1">
      <c r="A39" s="2">
        <v>35</v>
      </c>
      <c r="B39" s="5">
        <v>6.0000099999999997E+24</v>
      </c>
      <c r="C39" s="4">
        <v>0.85708311306787321</v>
      </c>
      <c r="D39" s="2">
        <v>35</v>
      </c>
      <c r="E39" s="6">
        <v>32.537399999999998</v>
      </c>
      <c r="F39" s="4">
        <v>0.92008440335369612</v>
      </c>
    </row>
    <row r="40" spans="1:6" ht="22.9" customHeight="1">
      <c r="A40" s="2">
        <v>36</v>
      </c>
      <c r="B40" s="5">
        <v>6.0000010000000003E+24</v>
      </c>
      <c r="C40" s="4">
        <v>0.85990206349088172</v>
      </c>
      <c r="D40" s="2">
        <v>36</v>
      </c>
      <c r="E40" s="6">
        <v>32.088499999999996</v>
      </c>
      <c r="F40" s="4">
        <v>0.92258543485333377</v>
      </c>
    </row>
    <row r="41" spans="1:6" ht="22.9" customHeight="1">
      <c r="A41" s="2">
        <v>37</v>
      </c>
      <c r="B41" s="5">
        <v>5.4E+24</v>
      </c>
      <c r="C41" s="4">
        <v>0.86243911844874688</v>
      </c>
      <c r="D41" s="2">
        <v>37</v>
      </c>
      <c r="E41" s="6">
        <v>31.7456</v>
      </c>
      <c r="F41" s="4">
        <v>0.92505974015195791</v>
      </c>
    </row>
    <row r="42" spans="1:6" ht="22.9" customHeight="1">
      <c r="A42" s="2">
        <v>38</v>
      </c>
      <c r="B42" s="5">
        <v>4.9400000000000001E+24</v>
      </c>
      <c r="C42" s="4">
        <v>0.86476005391020139</v>
      </c>
      <c r="D42" s="2">
        <v>38</v>
      </c>
      <c r="E42" s="6">
        <v>29.190200000000001</v>
      </c>
      <c r="F42" s="4">
        <v>0.92733487328939723</v>
      </c>
    </row>
    <row r="43" spans="1:6" ht="22.9" customHeight="1">
      <c r="A43" s="2">
        <v>39</v>
      </c>
      <c r="B43" s="5">
        <v>4.8000000000000001E+24</v>
      </c>
      <c r="C43" s="4">
        <v>0.86701521387274816</v>
      </c>
      <c r="D43" s="2">
        <v>39</v>
      </c>
      <c r="E43" s="6">
        <v>27.185199999999998</v>
      </c>
      <c r="F43" s="4">
        <v>0.92945373336462511</v>
      </c>
    </row>
    <row r="44" spans="1:6" ht="22.9" customHeight="1">
      <c r="A44" s="2">
        <v>40</v>
      </c>
      <c r="B44" s="5">
        <v>4.7520000000000001E+24</v>
      </c>
      <c r="C44" s="4">
        <v>0.86924782223566954</v>
      </c>
      <c r="D44" s="2">
        <v>40</v>
      </c>
      <c r="E44" s="6">
        <v>26.980700000000002</v>
      </c>
      <c r="F44" s="4">
        <v>0.93155665436692425</v>
      </c>
    </row>
    <row r="45" spans="1:6" ht="22.9" customHeight="1">
      <c r="A45" s="2">
        <v>41</v>
      </c>
      <c r="B45" s="5">
        <v>4.7520000000000001E+24</v>
      </c>
      <c r="C45" s="4">
        <v>0.87148043059859093</v>
      </c>
      <c r="D45" s="2">
        <v>41</v>
      </c>
      <c r="E45" s="6">
        <v>26.048000000000002</v>
      </c>
      <c r="F45" s="4">
        <v>0.93358687916716621</v>
      </c>
    </row>
    <row r="46" spans="1:6" ht="22.9" customHeight="1">
      <c r="A46" s="2">
        <v>42</v>
      </c>
      <c r="B46" s="5">
        <v>4.7520000000000001E+24</v>
      </c>
      <c r="C46" s="4">
        <v>0.87371303896151231</v>
      </c>
      <c r="D46" s="2">
        <v>42</v>
      </c>
      <c r="E46" s="6">
        <v>25.834800000000001</v>
      </c>
      <c r="F46" s="4">
        <v>0.93560048680189023</v>
      </c>
    </row>
    <row r="47" spans="1:6" ht="22.9" customHeight="1">
      <c r="A47" s="2">
        <v>43</v>
      </c>
      <c r="B47" s="5">
        <v>4.42E+24</v>
      </c>
      <c r="C47" s="4">
        <v>0.87578966542702408</v>
      </c>
      <c r="D47" s="2">
        <v>43</v>
      </c>
      <c r="E47" s="6">
        <v>24.382800000000003</v>
      </c>
      <c r="F47" s="4">
        <v>0.93750092312173572</v>
      </c>
    </row>
    <row r="48" spans="1:6" ht="22.9" customHeight="1">
      <c r="A48" s="2">
        <v>44</v>
      </c>
      <c r="B48" s="5">
        <v>4.42E+24</v>
      </c>
      <c r="C48" s="4">
        <v>0.87786629189253595</v>
      </c>
      <c r="D48" s="2">
        <v>44</v>
      </c>
      <c r="E48" s="6">
        <v>23.8202</v>
      </c>
      <c r="F48" s="4">
        <v>0.93935750945414986</v>
      </c>
    </row>
    <row r="49" spans="1:6" ht="22.9" customHeight="1">
      <c r="A49" s="2">
        <v>45</v>
      </c>
      <c r="B49" s="5">
        <v>4.3240061999999998E+24</v>
      </c>
      <c r="C49" s="4">
        <v>0.87989781807171186</v>
      </c>
      <c r="D49" s="2">
        <v>45</v>
      </c>
      <c r="E49" s="6">
        <v>23.543000000000003</v>
      </c>
      <c r="F49" s="4">
        <v>0.94119249035372354</v>
      </c>
    </row>
    <row r="50" spans="1:6" ht="22.9" customHeight="1">
      <c r="A50" s="2">
        <v>46</v>
      </c>
      <c r="B50" s="5">
        <v>4.2999999999999999E+24</v>
      </c>
      <c r="C50" s="4">
        <v>0.88191806553815999</v>
      </c>
      <c r="D50" s="2">
        <v>46</v>
      </c>
      <c r="E50" s="6">
        <v>23.188600000000001</v>
      </c>
      <c r="F50" s="4">
        <v>0.94299984872299902</v>
      </c>
    </row>
    <row r="51" spans="1:6" ht="22.9" customHeight="1">
      <c r="A51" s="2">
        <v>47</v>
      </c>
      <c r="B51" s="5">
        <v>4.1861931000000002E+24</v>
      </c>
      <c r="C51" s="4">
        <v>0.88388484367870379</v>
      </c>
      <c r="D51" s="2">
        <v>47</v>
      </c>
      <c r="E51" s="6">
        <v>22.8475</v>
      </c>
      <c r="F51" s="4">
        <v>0.94478062118627937</v>
      </c>
    </row>
    <row r="52" spans="1:6" ht="22.9" customHeight="1">
      <c r="A52" s="2">
        <v>48</v>
      </c>
      <c r="B52" s="5">
        <v>4.1799999999999998E+24</v>
      </c>
      <c r="C52" s="4">
        <v>0.88584871214608818</v>
      </c>
      <c r="D52" s="2">
        <v>48</v>
      </c>
      <c r="E52" s="6">
        <v>22.643800000000002</v>
      </c>
      <c r="F52" s="4">
        <v>0.94654551692997246</v>
      </c>
    </row>
    <row r="53" spans="1:6" ht="22.9" customHeight="1">
      <c r="A53" s="2">
        <v>49</v>
      </c>
      <c r="B53" s="5">
        <v>4.1015807999999999E+24</v>
      </c>
      <c r="C53" s="4">
        <v>0.88777573731344461</v>
      </c>
      <c r="D53" s="2">
        <v>49</v>
      </c>
      <c r="E53" s="6">
        <v>22.064399999999999</v>
      </c>
      <c r="F53" s="4">
        <v>0.94826525326606192</v>
      </c>
    </row>
    <row r="54" spans="1:6" ht="22.9" customHeight="1">
      <c r="A54" s="2">
        <v>50</v>
      </c>
      <c r="B54" s="5">
        <v>4.0800000000000002E+24</v>
      </c>
      <c r="C54" s="4">
        <v>0.88969262328160936</v>
      </c>
      <c r="D54" s="2">
        <v>50</v>
      </c>
      <c r="E54" s="6">
        <v>22.059799999999999</v>
      </c>
      <c r="F54" s="4">
        <v>0.94998463107043762</v>
      </c>
    </row>
    <row r="55" spans="1:6" ht="22.9" customHeight="1">
      <c r="A55" s="2">
        <v>51</v>
      </c>
      <c r="B55" s="5">
        <v>4.0200100000000002E+24</v>
      </c>
      <c r="C55" s="4">
        <v>0.89158132444849236</v>
      </c>
      <c r="D55" s="2">
        <v>51</v>
      </c>
      <c r="E55" s="6">
        <v>21.559200000000001</v>
      </c>
      <c r="F55" s="4">
        <v>0.95166499127135029</v>
      </c>
    </row>
    <row r="56" spans="1:6" ht="22.9" customHeight="1">
      <c r="A56" s="2">
        <v>52</v>
      </c>
      <c r="B56" s="5">
        <v>3.8999999999999998E+24</v>
      </c>
      <c r="C56" s="4">
        <v>0.89341364191806161</v>
      </c>
      <c r="D56" s="2">
        <v>52</v>
      </c>
      <c r="E56" s="6">
        <v>21.013999999999999</v>
      </c>
      <c r="F56" s="4">
        <v>0.95330285767000977</v>
      </c>
    </row>
    <row r="57" spans="1:6" ht="22.9" customHeight="1">
      <c r="A57" s="2">
        <v>53</v>
      </c>
      <c r="B57" s="5">
        <v>3.8900000000000001E+24</v>
      </c>
      <c r="C57" s="4">
        <v>0.89524126113770897</v>
      </c>
      <c r="D57" s="2">
        <v>53</v>
      </c>
      <c r="E57" s="6">
        <v>20.947099999999999</v>
      </c>
      <c r="F57" s="4">
        <v>0.9549355097704838</v>
      </c>
    </row>
    <row r="58" spans="1:6" ht="22.9" customHeight="1">
      <c r="A58" s="2">
        <v>54</v>
      </c>
      <c r="B58" s="5">
        <v>3.8660000000000001E+24</v>
      </c>
      <c r="C58" s="4">
        <v>0.89705760455754369</v>
      </c>
      <c r="D58" s="2">
        <v>54</v>
      </c>
      <c r="E58" s="6">
        <v>20.3751</v>
      </c>
      <c r="F58" s="4">
        <v>0.95652357923176323</v>
      </c>
    </row>
    <row r="59" spans="1:6" ht="22.9" customHeight="1">
      <c r="A59" s="2">
        <v>55</v>
      </c>
      <c r="B59" s="5">
        <v>3.7599999999999998E+24</v>
      </c>
      <c r="C59" s="4">
        <v>0.89882414652820541</v>
      </c>
      <c r="D59" s="2">
        <v>55</v>
      </c>
      <c r="E59" s="6">
        <v>19.761900000000001</v>
      </c>
      <c r="F59" s="4">
        <v>0.95806385485675938</v>
      </c>
    </row>
    <row r="60" spans="1:6" ht="22.9" customHeight="1">
      <c r="A60" s="2">
        <v>56</v>
      </c>
      <c r="B60" s="5">
        <v>3.7260000000000001E+24</v>
      </c>
      <c r="C60" s="4">
        <v>0.9005747144491324</v>
      </c>
      <c r="D60" s="2">
        <v>56</v>
      </c>
      <c r="E60" s="6">
        <v>19.344100000000001</v>
      </c>
      <c r="F60" s="4">
        <v>0.9595715664491411</v>
      </c>
    </row>
    <row r="61" spans="1:6" ht="22.9" customHeight="1">
      <c r="A61" s="2">
        <v>57</v>
      </c>
      <c r="B61" s="5">
        <v>3.6719999999999999E+24</v>
      </c>
      <c r="C61" s="4">
        <v>0.90229991182048075</v>
      </c>
      <c r="D61" s="2">
        <v>57</v>
      </c>
      <c r="E61" s="6">
        <v>18.0549</v>
      </c>
      <c r="F61" s="4">
        <v>0.96097879563164601</v>
      </c>
    </row>
    <row r="62" spans="1:6" ht="22.9" customHeight="1">
      <c r="A62" s="2">
        <v>58</v>
      </c>
      <c r="B62" s="5">
        <v>3.6059017000000002E+24</v>
      </c>
      <c r="C62" s="4">
        <v>0.90399405455854731</v>
      </c>
      <c r="D62" s="2">
        <v>58</v>
      </c>
      <c r="E62" s="6">
        <v>17.251199999999997</v>
      </c>
      <c r="F62" s="4">
        <v>0.96232338308841558</v>
      </c>
    </row>
    <row r="63" spans="1:6" ht="22.9" customHeight="1">
      <c r="A63" s="2">
        <v>59</v>
      </c>
      <c r="B63" s="5">
        <v>3.594058E+24</v>
      </c>
      <c r="C63" s="4">
        <v>0.90568263283035377</v>
      </c>
      <c r="D63" s="2">
        <v>59</v>
      </c>
      <c r="E63" s="6">
        <v>17.213900000000002</v>
      </c>
      <c r="F63" s="4">
        <v>0.96366506332063628</v>
      </c>
    </row>
    <row r="64" spans="1:6" ht="22.9" customHeight="1">
      <c r="A64" s="2">
        <v>60</v>
      </c>
      <c r="B64" s="5">
        <v>3.594058E+24</v>
      </c>
      <c r="C64" s="4">
        <v>0.90737121110216012</v>
      </c>
      <c r="D64" s="2">
        <v>60</v>
      </c>
      <c r="E64" s="6">
        <v>16.108699999999999</v>
      </c>
      <c r="F64" s="4">
        <v>0.96492060241153232</v>
      </c>
    </row>
    <row r="65" spans="1:6" ht="22.9" customHeight="1">
      <c r="A65" s="2">
        <v>61</v>
      </c>
      <c r="B65" s="5">
        <v>3.5099999999999999E+24</v>
      </c>
      <c r="C65" s="4">
        <v>0.90902029682477259</v>
      </c>
      <c r="D65" s="2">
        <v>61</v>
      </c>
      <c r="E65" s="6">
        <v>16.026600000000002</v>
      </c>
      <c r="F65" s="4">
        <v>0.96616974249075349</v>
      </c>
    </row>
    <row r="66" spans="1:6" ht="22.9" customHeight="1">
      <c r="A66" s="2">
        <v>62</v>
      </c>
      <c r="B66" s="5">
        <v>3.5000000000000002E+24</v>
      </c>
      <c r="C66" s="4">
        <v>0.91066468429746295</v>
      </c>
      <c r="D66" s="2">
        <v>62</v>
      </c>
      <c r="E66" s="6">
        <v>15.736500000000001</v>
      </c>
      <c r="F66" s="4">
        <v>0.96739627168950237</v>
      </c>
    </row>
    <row r="67" spans="1:6" ht="22.9" customHeight="1">
      <c r="A67" s="2">
        <v>63</v>
      </c>
      <c r="B67" s="5">
        <v>3.4923699999999998E+24</v>
      </c>
      <c r="C67" s="4">
        <v>0.91230548700546288</v>
      </c>
      <c r="D67" s="2">
        <v>63</v>
      </c>
      <c r="E67" s="6">
        <v>15.214700000000001</v>
      </c>
      <c r="F67" s="4">
        <v>0.96858213092123768</v>
      </c>
    </row>
    <row r="68" spans="1:6" ht="22.9" customHeight="1">
      <c r="A68" s="2">
        <v>64</v>
      </c>
      <c r="B68" s="5">
        <v>3.2999999999999999E+24</v>
      </c>
      <c r="C68" s="4">
        <v>0.91385590947971385</v>
      </c>
      <c r="D68" s="2">
        <v>64</v>
      </c>
      <c r="E68" s="6">
        <v>15.0854</v>
      </c>
      <c r="F68" s="4">
        <v>0.96975791229414798</v>
      </c>
    </row>
    <row r="69" spans="1:6" ht="22.9" customHeight="1">
      <c r="A69" s="2">
        <v>65</v>
      </c>
      <c r="B69" s="5">
        <v>3.2999999999999999E+24</v>
      </c>
      <c r="C69" s="4">
        <v>0.91540633195396492</v>
      </c>
      <c r="D69" s="2">
        <v>65</v>
      </c>
      <c r="E69" s="6">
        <v>14.416500000000001</v>
      </c>
      <c r="F69" s="4">
        <v>0.97088155847937097</v>
      </c>
    </row>
    <row r="70" spans="1:6" ht="22.9" customHeight="1">
      <c r="A70" s="2">
        <v>66</v>
      </c>
      <c r="B70" s="5">
        <v>3.1967999999999998E+24</v>
      </c>
      <c r="C70" s="4">
        <v>0.91690826848902107</v>
      </c>
      <c r="D70" s="2">
        <v>66</v>
      </c>
      <c r="E70" s="6">
        <v>14.027100000000001</v>
      </c>
      <c r="F70" s="4">
        <v>0.9719748541756037</v>
      </c>
    </row>
    <row r="71" spans="1:6" ht="22.9" customHeight="1">
      <c r="A71" s="2">
        <v>67</v>
      </c>
      <c r="B71" s="5">
        <v>3.1417631999999999E+24</v>
      </c>
      <c r="C71" s="4">
        <v>0.91838434735994678</v>
      </c>
      <c r="D71" s="2">
        <v>67</v>
      </c>
      <c r="E71" s="6">
        <v>13.6996</v>
      </c>
      <c r="F71" s="4">
        <v>0.9730426239726474</v>
      </c>
    </row>
    <row r="72" spans="1:6" ht="22.9" customHeight="1">
      <c r="A72" s="2">
        <v>68</v>
      </c>
      <c r="B72" s="5">
        <v>3.0888E+24</v>
      </c>
      <c r="C72" s="4">
        <v>0.91983554279584567</v>
      </c>
      <c r="D72" s="2">
        <v>68</v>
      </c>
      <c r="E72" s="6">
        <v>13.611400000000001</v>
      </c>
      <c r="F72" s="4">
        <v>0.97410351931378736</v>
      </c>
    </row>
    <row r="73" spans="1:6" ht="22.9" customHeight="1">
      <c r="A73" s="2">
        <v>69</v>
      </c>
      <c r="B73" s="5">
        <v>3.0199999999999999E+24</v>
      </c>
      <c r="C73" s="4">
        <v>0.92125441427228139</v>
      </c>
      <c r="D73" s="2">
        <v>69</v>
      </c>
      <c r="E73" s="6">
        <v>13.463099999999999</v>
      </c>
      <c r="F73" s="4">
        <v>0.97515285590424106</v>
      </c>
    </row>
    <row r="74" spans="1:6" ht="22.9" customHeight="1">
      <c r="A74" s="2">
        <v>70</v>
      </c>
      <c r="B74" s="5">
        <v>2.9759999999999999E+24</v>
      </c>
      <c r="C74" s="4">
        <v>0.92265261344906047</v>
      </c>
      <c r="D74" s="2">
        <v>70</v>
      </c>
      <c r="E74" s="6">
        <v>13.315899999999999</v>
      </c>
      <c r="F74" s="4">
        <v>0.97619071947985303</v>
      </c>
    </row>
    <row r="75" spans="1:6" ht="22.9" customHeight="1">
      <c r="A75" s="2">
        <v>71</v>
      </c>
      <c r="B75" s="5">
        <v>2.9000000000100001E+24</v>
      </c>
      <c r="C75" s="4">
        <v>0.9240151059264371</v>
      </c>
      <c r="D75" s="2">
        <v>71</v>
      </c>
      <c r="E75" s="6">
        <v>12.8978</v>
      </c>
      <c r="F75" s="4">
        <v>0.97719599564034754</v>
      </c>
    </row>
    <row r="76" spans="1:6" ht="22.9" customHeight="1">
      <c r="A76" s="2">
        <v>72</v>
      </c>
      <c r="B76" s="5">
        <v>2.8799999999999999E+24</v>
      </c>
      <c r="C76" s="4">
        <v>0.92536820190396518</v>
      </c>
      <c r="D76" s="2">
        <v>72</v>
      </c>
      <c r="E76" s="6">
        <v>12.768699999999999</v>
      </c>
      <c r="F76" s="4">
        <v>0.97819120953035255</v>
      </c>
    </row>
    <row r="77" spans="1:6" ht="22.9" customHeight="1">
      <c r="A77" s="2">
        <v>73</v>
      </c>
      <c r="B77" s="5">
        <v>2.8799999999999999E+24</v>
      </c>
      <c r="C77" s="4">
        <v>0.92672129788149327</v>
      </c>
      <c r="D77" s="2">
        <v>73</v>
      </c>
      <c r="E77" s="6">
        <v>12.4251</v>
      </c>
      <c r="F77" s="4">
        <v>0.97915964266017008</v>
      </c>
    </row>
    <row r="78" spans="1:6" ht="22.9" customHeight="1">
      <c r="A78" s="2">
        <v>74</v>
      </c>
      <c r="B78" s="5">
        <v>2.8200000000000001E+24</v>
      </c>
      <c r="C78" s="4">
        <v>0.92804620435948959</v>
      </c>
      <c r="D78" s="2">
        <v>74</v>
      </c>
      <c r="E78" s="6">
        <v>12.2296</v>
      </c>
      <c r="F78" s="4">
        <v>0.980112838192151</v>
      </c>
    </row>
    <row r="79" spans="1:6" ht="22.9" customHeight="1">
      <c r="A79" s="2">
        <v>75</v>
      </c>
      <c r="B79" s="5">
        <v>2.8000000000000002E+24</v>
      </c>
      <c r="C79" s="4">
        <v>0.92936171433764192</v>
      </c>
      <c r="D79" s="2">
        <v>75</v>
      </c>
      <c r="E79" s="6">
        <v>12.031600000000001</v>
      </c>
      <c r="F79" s="4">
        <v>0.98105060127210308</v>
      </c>
    </row>
    <row r="80" spans="1:6" ht="22.9" customHeight="1">
      <c r="A80" s="2">
        <v>76</v>
      </c>
      <c r="B80" s="5">
        <v>2.8000000000000002E+24</v>
      </c>
      <c r="C80" s="4">
        <v>0.93067722431579425</v>
      </c>
      <c r="D80" s="2">
        <v>76</v>
      </c>
      <c r="E80" s="6">
        <v>11.9704</v>
      </c>
      <c r="F80" s="4">
        <v>0.98198359432142801</v>
      </c>
    </row>
    <row r="81" spans="1:6" ht="22.9" customHeight="1">
      <c r="A81" s="2">
        <v>77</v>
      </c>
      <c r="B81" s="5">
        <v>2.7415000000000002E+24</v>
      </c>
      <c r="C81" s="4">
        <v>0.93196524953190307</v>
      </c>
      <c r="D81" s="2">
        <v>77</v>
      </c>
      <c r="E81" s="6">
        <v>11.471500000000001</v>
      </c>
      <c r="F81" s="4">
        <v>0.98287770226814075</v>
      </c>
    </row>
    <row r="82" spans="1:6" ht="22.9" customHeight="1">
      <c r="A82" s="2">
        <v>78</v>
      </c>
      <c r="B82" s="5">
        <v>2.69000000000001E+24</v>
      </c>
      <c r="C82" s="4">
        <v>0.93322907876091377</v>
      </c>
      <c r="D82" s="2">
        <v>78</v>
      </c>
      <c r="E82" s="6">
        <v>11.3779</v>
      </c>
      <c r="F82" s="4">
        <v>0.98376451487389438</v>
      </c>
    </row>
    <row r="83" spans="1:6" ht="22.9" customHeight="1">
      <c r="A83" s="2">
        <v>79</v>
      </c>
      <c r="B83" s="5">
        <v>2.5999999999999998E+24</v>
      </c>
      <c r="C83" s="4">
        <v>0.9344506237406266</v>
      </c>
      <c r="D83" s="2">
        <v>79</v>
      </c>
      <c r="E83" s="6">
        <v>10.9678</v>
      </c>
      <c r="F83" s="4">
        <v>0.98461936359794588</v>
      </c>
    </row>
    <row r="84" spans="1:6" ht="22.9" customHeight="1">
      <c r="A84" s="2">
        <v>80</v>
      </c>
      <c r="B84" s="5">
        <v>2.5920000000000002E+24</v>
      </c>
      <c r="C84" s="4">
        <v>0.93566841012040192</v>
      </c>
      <c r="D84" s="2">
        <v>80</v>
      </c>
      <c r="E84" s="6">
        <v>10.653699999999999</v>
      </c>
      <c r="F84" s="4">
        <v>0.98544973084127896</v>
      </c>
    </row>
    <row r="85" spans="1:6" ht="22.9" customHeight="1">
      <c r="A85" s="2">
        <v>81</v>
      </c>
      <c r="B85" s="5">
        <v>2.5779999999999999E+24</v>
      </c>
      <c r="C85" s="4">
        <v>0.93687961895028637</v>
      </c>
      <c r="D85" s="2">
        <v>81</v>
      </c>
      <c r="E85" s="6">
        <v>10.484500000000001</v>
      </c>
      <c r="F85" s="4">
        <v>0.98626691035287817</v>
      </c>
    </row>
    <row r="86" spans="1:6" ht="22.9" customHeight="1">
      <c r="A86" s="2">
        <v>82</v>
      </c>
      <c r="B86" s="5">
        <v>2.5272000000000002E+24</v>
      </c>
      <c r="C86" s="4">
        <v>0.93806696067056727</v>
      </c>
      <c r="D86" s="2">
        <v>82</v>
      </c>
      <c r="E86" s="6">
        <v>10.212300000000001</v>
      </c>
      <c r="F86" s="4">
        <v>0.98706287414002147</v>
      </c>
    </row>
    <row r="87" spans="1:6" ht="22.9" customHeight="1">
      <c r="A87" s="2">
        <v>83</v>
      </c>
      <c r="B87" s="5">
        <v>2.34E+24</v>
      </c>
      <c r="C87" s="4">
        <v>0.93916635115230884</v>
      </c>
      <c r="D87" s="2">
        <v>83</v>
      </c>
      <c r="E87" s="6">
        <v>10.119199999999999</v>
      </c>
      <c r="F87" s="4">
        <v>0.98785158155704422</v>
      </c>
    </row>
    <row r="88" spans="1:6" ht="22.9" customHeight="1">
      <c r="A88" s="2">
        <v>84</v>
      </c>
      <c r="B88" s="5">
        <v>2.2500000000000001E+24</v>
      </c>
      <c r="C88" s="4">
        <v>0.94022345738475266</v>
      </c>
      <c r="D88" s="2">
        <v>84</v>
      </c>
      <c r="E88" s="6">
        <v>10.065099999999999</v>
      </c>
      <c r="F88" s="4">
        <v>0.98863607232934592</v>
      </c>
    </row>
    <row r="89" spans="1:6" ht="22.9" customHeight="1">
      <c r="A89" s="2">
        <v>85</v>
      </c>
      <c r="B89" s="5">
        <v>2.2440000000009999E+24</v>
      </c>
      <c r="C89" s="4">
        <v>0.94127774466724368</v>
      </c>
      <c r="D89" s="2">
        <v>85</v>
      </c>
      <c r="E89" s="6">
        <v>10.0069</v>
      </c>
      <c r="F89" s="4">
        <v>0.98941602689605124</v>
      </c>
    </row>
    <row r="90" spans="1:6" ht="22.9" customHeight="1">
      <c r="A90" s="2">
        <v>86</v>
      </c>
      <c r="B90" s="5">
        <v>2.1238848000000001E+24</v>
      </c>
      <c r="C90" s="4">
        <v>0.94227559882683154</v>
      </c>
      <c r="D90" s="2">
        <v>86</v>
      </c>
      <c r="E90" s="6">
        <v>9.8801000000000005</v>
      </c>
      <c r="F90" s="4">
        <v>0.990186098458124</v>
      </c>
    </row>
    <row r="91" spans="1:6" ht="22.9" customHeight="1">
      <c r="A91" s="2">
        <v>87</v>
      </c>
      <c r="B91" s="5">
        <v>2.106E+24</v>
      </c>
      <c r="C91" s="4">
        <v>0.94326505026039897</v>
      </c>
      <c r="D91" s="2">
        <v>87</v>
      </c>
      <c r="E91" s="6">
        <v>9.5105000000000004</v>
      </c>
      <c r="F91" s="4">
        <v>0.99092736277640947</v>
      </c>
    </row>
    <row r="92" spans="1:6" ht="22.9" customHeight="1">
      <c r="A92" s="2">
        <v>88</v>
      </c>
      <c r="B92" s="5">
        <v>1.7999999999999999E+24</v>
      </c>
      <c r="C92" s="4">
        <v>0.94411073524635403</v>
      </c>
      <c r="D92" s="2">
        <v>88</v>
      </c>
      <c r="E92" s="6">
        <v>9.4969999999999999</v>
      </c>
      <c r="F92" s="4">
        <v>0.99166757488205659</v>
      </c>
    </row>
    <row r="93" spans="1:6" ht="22.9" customHeight="1">
      <c r="A93" s="2">
        <v>89</v>
      </c>
      <c r="B93" s="5">
        <v>1.7999999999999999E+24</v>
      </c>
      <c r="C93" s="4">
        <v>0.94495642023230908</v>
      </c>
      <c r="D93" s="2">
        <v>89</v>
      </c>
      <c r="E93" s="6">
        <v>9.1302000000000003</v>
      </c>
      <c r="F93" s="4">
        <v>0.99237919798061192</v>
      </c>
    </row>
    <row r="94" spans="1:6" ht="22.9" customHeight="1">
      <c r="A94" s="2">
        <v>90</v>
      </c>
      <c r="B94" s="5">
        <v>1.7892000000000001E+24</v>
      </c>
      <c r="C94" s="4">
        <v>0.94579703110834834</v>
      </c>
      <c r="D94" s="2">
        <v>90</v>
      </c>
      <c r="E94" s="6">
        <v>9.1105</v>
      </c>
      <c r="F94" s="4">
        <v>0.99308928562813203</v>
      </c>
    </row>
    <row r="95" spans="1:6" ht="22.9" customHeight="1">
      <c r="A95" s="2">
        <v>91</v>
      </c>
      <c r="B95" s="5">
        <v>1.7711999999999999E+24</v>
      </c>
      <c r="C95" s="4">
        <v>0.94662918513452809</v>
      </c>
      <c r="D95" s="2">
        <v>91</v>
      </c>
      <c r="E95" s="6">
        <v>9.0995000000000008</v>
      </c>
      <c r="F95" s="4">
        <v>0.99379851591720614</v>
      </c>
    </row>
    <row r="96" spans="1:6" ht="22.9" customHeight="1">
      <c r="A96" s="2">
        <v>92</v>
      </c>
      <c r="B96" s="5">
        <v>1.6955999999999999E+24</v>
      </c>
      <c r="C96" s="4">
        <v>0.94742582039129786</v>
      </c>
      <c r="D96" s="2">
        <v>92</v>
      </c>
      <c r="E96" s="6">
        <v>9.0928000000000004</v>
      </c>
      <c r="F96" s="4">
        <v>0.99450722399704494</v>
      </c>
    </row>
    <row r="97" spans="1:6" ht="22.9" customHeight="1">
      <c r="A97" s="2">
        <v>93</v>
      </c>
      <c r="B97" s="5">
        <v>1.6560000000000001E+24</v>
      </c>
      <c r="C97" s="4">
        <v>0.94820385057837653</v>
      </c>
      <c r="D97" s="2">
        <v>93</v>
      </c>
      <c r="E97" s="6">
        <v>9.0745000000000005</v>
      </c>
      <c r="F97" s="4">
        <v>0.99521450574419623</v>
      </c>
    </row>
    <row r="98" spans="1:6" ht="22.9" customHeight="1">
      <c r="A98" s="2">
        <v>94</v>
      </c>
      <c r="B98" s="5">
        <v>1.6499999999999999E+24</v>
      </c>
      <c r="C98" s="4">
        <v>0.94897906181550196</v>
      </c>
      <c r="D98" s="2">
        <v>94</v>
      </c>
      <c r="E98" s="6">
        <v>8.9201999999999995</v>
      </c>
      <c r="F98" s="4">
        <v>0.9959097610905997</v>
      </c>
    </row>
    <row r="99" spans="1:6" ht="22.9" customHeight="1">
      <c r="A99" s="2">
        <v>95</v>
      </c>
      <c r="B99" s="5">
        <v>1.6453571041000001E+24</v>
      </c>
      <c r="C99" s="4">
        <v>0.94975209170409747</v>
      </c>
      <c r="D99" s="2">
        <v>95</v>
      </c>
      <c r="E99" s="6">
        <v>8.8947000000000003</v>
      </c>
      <c r="F99" s="4">
        <v>0.99660302892424202</v>
      </c>
    </row>
    <row r="100" spans="1:6" ht="22.9" customHeight="1">
      <c r="A100" s="2">
        <v>96</v>
      </c>
      <c r="B100" s="5">
        <v>1.58760000000001E+24</v>
      </c>
      <c r="C100" s="4">
        <v>0.95049798586170986</v>
      </c>
      <c r="D100" s="2">
        <v>96</v>
      </c>
      <c r="E100" s="6">
        <v>8.8041999999999998</v>
      </c>
      <c r="F100" s="4">
        <v>0.99728924303612354</v>
      </c>
    </row>
    <row r="101" spans="1:6" ht="22.9" customHeight="1">
      <c r="A101" s="2">
        <v>97</v>
      </c>
      <c r="B101" s="5">
        <v>1.5750000000000001E+24</v>
      </c>
      <c r="C101" s="4">
        <v>0.95123796022442042</v>
      </c>
      <c r="D101" s="2">
        <v>97</v>
      </c>
      <c r="E101" s="6">
        <v>8.7858999999999998</v>
      </c>
      <c r="F101" s="4">
        <v>0.99797403081531766</v>
      </c>
    </row>
    <row r="102" spans="1:6" ht="22.9" customHeight="1">
      <c r="A102" s="2">
        <v>98</v>
      </c>
      <c r="B102" s="5">
        <v>1.5552000000000001E+24</v>
      </c>
      <c r="C102" s="4">
        <v>0.95196863205228566</v>
      </c>
      <c r="D102" s="2">
        <v>98</v>
      </c>
      <c r="E102" s="6">
        <v>8.7234999999999996</v>
      </c>
      <c r="F102" s="4">
        <v>0.99865395503387222</v>
      </c>
    </row>
    <row r="103" spans="1:6" ht="22.9" customHeight="1">
      <c r="A103" s="2">
        <v>99</v>
      </c>
      <c r="B103" s="5">
        <v>1.5435000000000101E+24</v>
      </c>
      <c r="C103" s="4">
        <v>0.95269380692774208</v>
      </c>
      <c r="D103" s="2">
        <v>99</v>
      </c>
      <c r="E103" s="6">
        <v>8.6936999999999998</v>
      </c>
      <c r="F103" s="4">
        <v>0.99933155659045481</v>
      </c>
    </row>
    <row r="104" spans="1:6" ht="22.9" customHeight="1">
      <c r="A104" s="2">
        <v>100</v>
      </c>
      <c r="B104" s="5">
        <v>1.5300000000000001E+24</v>
      </c>
      <c r="C104" s="4">
        <v>0.95341263916580388</v>
      </c>
      <c r="D104" s="2">
        <v>100</v>
      </c>
      <c r="E104" s="6">
        <v>8.5762</v>
      </c>
      <c r="F104" s="4">
        <v>1</v>
      </c>
    </row>
    <row r="105" spans="1:6" ht="22.9" customHeight="1">
      <c r="A105" s="2">
        <v>101</v>
      </c>
      <c r="B105" s="5">
        <v>1.5199999999999999E+24</v>
      </c>
      <c r="C105" s="4">
        <v>0.95412677315394367</v>
      </c>
      <c r="D105" s="2"/>
      <c r="E105" s="6"/>
      <c r="F105" s="4"/>
    </row>
    <row r="106" spans="1:6" ht="22.9" customHeight="1">
      <c r="A106" s="2">
        <v>102</v>
      </c>
      <c r="B106" s="5">
        <v>1.5192E+24</v>
      </c>
      <c r="C106" s="4">
        <v>0.95484053128208968</v>
      </c>
      <c r="D106" s="2"/>
      <c r="E106" s="6"/>
      <c r="F106" s="4"/>
    </row>
    <row r="107" spans="1:6" ht="22.9" customHeight="1">
      <c r="A107" s="2">
        <v>103</v>
      </c>
      <c r="B107" s="5">
        <v>1.5E+24</v>
      </c>
      <c r="C107" s="4">
        <v>0.9555452687703857</v>
      </c>
      <c r="D107" s="2"/>
      <c r="E107" s="6"/>
      <c r="F107" s="4"/>
    </row>
    <row r="108" spans="1:6" ht="22.9" customHeight="1">
      <c r="A108" s="2">
        <v>104</v>
      </c>
      <c r="B108" s="5">
        <v>1.4687999999999999E+24</v>
      </c>
      <c r="C108" s="4">
        <v>0.95623534771892493</v>
      </c>
      <c r="D108" s="2"/>
      <c r="E108" s="6"/>
      <c r="F108" s="4"/>
    </row>
    <row r="109" spans="1:6" ht="22.9" customHeight="1">
      <c r="A109" s="2">
        <v>105</v>
      </c>
      <c r="B109" s="5">
        <v>1.4000000000000001E+24</v>
      </c>
      <c r="C109" s="4">
        <v>0.9568931027080011</v>
      </c>
      <c r="D109" s="2"/>
      <c r="E109" s="6"/>
      <c r="F109" s="4"/>
    </row>
    <row r="110" spans="1:6" ht="22.9" customHeight="1">
      <c r="A110" s="2">
        <v>106</v>
      </c>
      <c r="B110" s="5">
        <v>1.3885560000000001E+24</v>
      </c>
      <c r="C110" s="4">
        <v>0.95754548101986647</v>
      </c>
      <c r="D110" s="2"/>
      <c r="E110" s="6"/>
      <c r="F110" s="4"/>
    </row>
    <row r="111" spans="1:6" ht="22.9" customHeight="1">
      <c r="A111" s="2">
        <v>107</v>
      </c>
      <c r="B111" s="5">
        <v>1.2999999999999999E+24</v>
      </c>
      <c r="C111" s="4">
        <v>0.95815625350972289</v>
      </c>
      <c r="D111" s="2"/>
      <c r="E111" s="6"/>
      <c r="F111" s="4"/>
    </row>
    <row r="112" spans="1:6" ht="22.9" customHeight="1">
      <c r="A112" s="2">
        <v>108</v>
      </c>
      <c r="B112" s="5">
        <v>1.2999999999999999E+24</v>
      </c>
      <c r="C112" s="4">
        <v>0.9587670259995793</v>
      </c>
      <c r="D112" s="2"/>
      <c r="E112" s="6"/>
      <c r="F112" s="4"/>
    </row>
    <row r="113" spans="1:6" ht="22.9" customHeight="1">
      <c r="A113" s="2">
        <v>109</v>
      </c>
      <c r="B113" s="5">
        <v>1.2999999999999999E+24</v>
      </c>
      <c r="C113" s="4">
        <v>0.95937779848943572</v>
      </c>
      <c r="D113" s="2"/>
      <c r="E113" s="6"/>
      <c r="F113" s="4"/>
    </row>
    <row r="114" spans="1:6" ht="22.9" customHeight="1">
      <c r="A114" s="2">
        <v>110</v>
      </c>
      <c r="B114" s="5">
        <v>1.2869999999999999E+24</v>
      </c>
      <c r="C114" s="4">
        <v>0.95998246325439363</v>
      </c>
      <c r="D114" s="2"/>
      <c r="E114" s="6"/>
      <c r="F114" s="4"/>
    </row>
    <row r="115" spans="1:6" ht="22.9" customHeight="1">
      <c r="A115" s="2">
        <v>111</v>
      </c>
      <c r="B115" s="5">
        <v>1.2600000000000001E+24</v>
      </c>
      <c r="C115" s="4">
        <v>0.96057444274456216</v>
      </c>
      <c r="D115" s="2"/>
      <c r="E115" s="6"/>
      <c r="F115" s="4"/>
    </row>
    <row r="116" spans="1:6" ht="22.9" customHeight="1">
      <c r="A116" s="2">
        <v>112</v>
      </c>
      <c r="B116" s="5">
        <v>1.2500000000000001E+24</v>
      </c>
      <c r="C116" s="4">
        <v>0.96116172398480881</v>
      </c>
      <c r="D116" s="2"/>
      <c r="E116" s="6"/>
      <c r="F116" s="4"/>
    </row>
    <row r="117" spans="1:6" ht="22.9" customHeight="1">
      <c r="A117" s="2">
        <v>113</v>
      </c>
      <c r="B117" s="5">
        <v>1.24800000000001E+24</v>
      </c>
      <c r="C117" s="4">
        <v>0.96174806557507098</v>
      </c>
      <c r="D117" s="2"/>
      <c r="E117" s="6"/>
      <c r="F117" s="4"/>
    </row>
    <row r="118" spans="1:6" ht="22.9" customHeight="1">
      <c r="A118" s="2">
        <v>114</v>
      </c>
      <c r="B118" s="5">
        <v>1.2240000000000001E+24</v>
      </c>
      <c r="C118" s="4">
        <v>0.96232313136552028</v>
      </c>
      <c r="D118" s="2"/>
      <c r="E118" s="6"/>
      <c r="F118" s="4"/>
    </row>
    <row r="119" spans="1:6" ht="22.9" customHeight="1">
      <c r="A119" s="2">
        <v>115</v>
      </c>
      <c r="B119" s="5">
        <v>1.2164856000000001E+24</v>
      </c>
      <c r="C119" s="4">
        <v>0.96289466670304835</v>
      </c>
      <c r="D119" s="2"/>
      <c r="E119" s="6"/>
      <c r="F119" s="4"/>
    </row>
    <row r="120" spans="1:6" ht="22.9" customHeight="1">
      <c r="A120" s="2">
        <v>116</v>
      </c>
      <c r="B120" s="5">
        <v>1.2150000000000001E+24</v>
      </c>
      <c r="C120" s="4">
        <v>0.96346550406856801</v>
      </c>
      <c r="D120" s="2"/>
      <c r="E120" s="6"/>
      <c r="F120" s="4"/>
    </row>
    <row r="121" spans="1:6" ht="22.9" customHeight="1">
      <c r="A121" s="2">
        <v>117</v>
      </c>
      <c r="B121" s="5">
        <v>1.2E+24</v>
      </c>
      <c r="C121" s="4">
        <v>0.96402929405920468</v>
      </c>
      <c r="D121" s="2"/>
      <c r="E121" s="6"/>
      <c r="F121" s="4"/>
    </row>
    <row r="122" spans="1:6" ht="22.9" customHeight="1">
      <c r="A122" s="2">
        <v>118</v>
      </c>
      <c r="B122" s="5">
        <v>1.2E+24</v>
      </c>
      <c r="C122" s="4">
        <v>0.96459308404984134</v>
      </c>
      <c r="D122" s="2"/>
      <c r="E122" s="6"/>
      <c r="F122" s="4"/>
    </row>
    <row r="123" spans="1:6" ht="22.9" customHeight="1">
      <c r="A123" s="2">
        <v>119</v>
      </c>
      <c r="B123" s="5">
        <v>1.2E+24</v>
      </c>
      <c r="C123" s="4">
        <v>0.96515687404047812</v>
      </c>
      <c r="D123" s="2"/>
      <c r="E123" s="6"/>
      <c r="F123" s="4"/>
    </row>
    <row r="124" spans="1:6" ht="22.9" customHeight="1">
      <c r="A124" s="2">
        <v>120</v>
      </c>
      <c r="B124" s="5">
        <v>1.2E+24</v>
      </c>
      <c r="C124" s="4">
        <v>0.96572066403111478</v>
      </c>
      <c r="D124" s="2"/>
      <c r="E124" s="6"/>
      <c r="F124" s="4"/>
    </row>
    <row r="125" spans="1:6" ht="22.9" customHeight="1">
      <c r="A125" s="2">
        <v>121</v>
      </c>
      <c r="B125" s="5">
        <v>1.1507999999999999E+24</v>
      </c>
      <c r="C125" s="4">
        <v>0.96626133863213537</v>
      </c>
      <c r="D125" s="2"/>
      <c r="E125" s="6"/>
      <c r="F125" s="4"/>
    </row>
    <row r="126" spans="1:6" ht="22.9" customHeight="1">
      <c r="A126" s="2">
        <v>122</v>
      </c>
      <c r="B126" s="5">
        <v>1.1E+24</v>
      </c>
      <c r="C126" s="4">
        <v>0.9667781461235524</v>
      </c>
      <c r="D126" s="2"/>
      <c r="E126" s="6"/>
      <c r="F126" s="4"/>
    </row>
    <row r="127" spans="1:6" ht="22.9" customHeight="1">
      <c r="A127" s="2">
        <v>123</v>
      </c>
      <c r="B127" s="5">
        <v>1.0725E+24</v>
      </c>
      <c r="C127" s="4">
        <v>0.96728203342768393</v>
      </c>
      <c r="D127" s="2"/>
      <c r="E127" s="6"/>
      <c r="F127" s="4"/>
    </row>
    <row r="128" spans="1:6" ht="22.9" customHeight="1">
      <c r="A128" s="2">
        <v>124</v>
      </c>
      <c r="B128" s="5">
        <v>1.07E+24</v>
      </c>
      <c r="C128" s="4">
        <v>0.96778474616933496</v>
      </c>
      <c r="D128" s="2"/>
      <c r="E128" s="6"/>
      <c r="F128" s="4"/>
    </row>
    <row r="129" spans="1:6" ht="22.9" customHeight="1">
      <c r="A129" s="2">
        <v>125</v>
      </c>
      <c r="B129" s="5">
        <v>1.0608E+24</v>
      </c>
      <c r="C129" s="4">
        <v>0.96828313652105791</v>
      </c>
      <c r="D129" s="2"/>
      <c r="E129" s="6"/>
      <c r="F129" s="4"/>
    </row>
    <row r="130" spans="1:6" ht="22.9" customHeight="1">
      <c r="A130" s="2">
        <v>126</v>
      </c>
      <c r="B130" s="5">
        <v>1.0500000000000001E+24</v>
      </c>
      <c r="C130" s="4">
        <v>0.96877645276286495</v>
      </c>
      <c r="D130" s="2"/>
      <c r="E130" s="6"/>
      <c r="F130" s="4"/>
    </row>
    <row r="131" spans="1:6" ht="22.9" customHeight="1">
      <c r="A131" s="2">
        <v>127</v>
      </c>
      <c r="B131" s="5">
        <v>1.0500000000000001E+24</v>
      </c>
      <c r="C131" s="4">
        <v>0.96926976900467199</v>
      </c>
      <c r="D131" s="2"/>
      <c r="E131" s="6"/>
      <c r="F131" s="4"/>
    </row>
    <row r="132" spans="1:6" ht="22.9" customHeight="1">
      <c r="A132" s="2">
        <v>128</v>
      </c>
      <c r="B132" s="5">
        <v>1.0421E+24</v>
      </c>
      <c r="C132" s="4">
        <v>0.96975937362904074</v>
      </c>
      <c r="D132" s="2"/>
      <c r="E132" s="6"/>
      <c r="F132" s="4"/>
    </row>
    <row r="133" spans="1:6" ht="22.9" customHeight="1">
      <c r="A133" s="2">
        <v>129</v>
      </c>
      <c r="B133" s="5">
        <v>1.02E+24</v>
      </c>
      <c r="C133" s="4">
        <v>0.97023859512108201</v>
      </c>
      <c r="D133" s="2"/>
      <c r="E133" s="6"/>
      <c r="F133" s="4"/>
    </row>
    <row r="134" spans="1:6" ht="22.9" customHeight="1">
      <c r="A134" s="2">
        <v>130</v>
      </c>
      <c r="B134" s="5">
        <v>1.02E+24</v>
      </c>
      <c r="C134" s="4">
        <v>0.97071781661312329</v>
      </c>
      <c r="D134" s="2"/>
      <c r="E134" s="6"/>
      <c r="F134" s="4"/>
    </row>
    <row r="135" spans="1:6" ht="22.9" customHeight="1">
      <c r="A135" s="2">
        <v>131</v>
      </c>
      <c r="B135" s="5">
        <v>1.0001000000000001E+24</v>
      </c>
      <c r="C135" s="4">
        <v>0.97118768858781968</v>
      </c>
      <c r="D135" s="2"/>
      <c r="E135" s="6"/>
      <c r="F135" s="4"/>
    </row>
    <row r="136" spans="1:6" ht="22.9" customHeight="1">
      <c r="A136" s="2">
        <v>132</v>
      </c>
      <c r="B136" s="5">
        <v>9.984E+23</v>
      </c>
      <c r="C136" s="4">
        <v>0.97165676186002936</v>
      </c>
      <c r="D136" s="2"/>
      <c r="E136" s="6"/>
      <c r="F136" s="4"/>
    </row>
    <row r="137" spans="1:6" ht="22.9" customHeight="1">
      <c r="A137" s="2">
        <v>133</v>
      </c>
      <c r="B137" s="5">
        <v>9.9407999999999999E+23</v>
      </c>
      <c r="C137" s="4">
        <v>0.97212380548827282</v>
      </c>
      <c r="D137" s="2"/>
      <c r="E137" s="6"/>
      <c r="F137" s="4"/>
    </row>
    <row r="138" spans="1:6" ht="22.9" customHeight="1">
      <c r="A138" s="2">
        <v>134</v>
      </c>
      <c r="B138" s="5">
        <v>9.6910000000000995E+23</v>
      </c>
      <c r="C138" s="4">
        <v>0.97257911288821131</v>
      </c>
      <c r="D138" s="2"/>
      <c r="E138" s="6"/>
      <c r="F138" s="4"/>
    </row>
    <row r="139" spans="1:6" ht="22.9" customHeight="1">
      <c r="A139" s="2">
        <v>135</v>
      </c>
      <c r="B139" s="5">
        <v>9.6540000000000004E+23</v>
      </c>
      <c r="C139" s="4">
        <v>0.97303268193567849</v>
      </c>
      <c r="D139" s="2"/>
      <c r="E139" s="6"/>
      <c r="F139" s="4"/>
    </row>
    <row r="140" spans="1:6" ht="22.9" customHeight="1">
      <c r="A140" s="2">
        <v>136</v>
      </c>
      <c r="B140" s="5">
        <v>9.3202015000000002E+23</v>
      </c>
      <c r="C140" s="4">
        <v>0.97347056829537981</v>
      </c>
      <c r="D140" s="2"/>
      <c r="E140" s="6"/>
      <c r="F140" s="4"/>
    </row>
    <row r="141" spans="1:6" ht="22.9" customHeight="1">
      <c r="A141" s="2">
        <v>137</v>
      </c>
      <c r="B141" s="5">
        <v>9.1799999999999997E+23</v>
      </c>
      <c r="C141" s="4">
        <v>0.97390186763821684</v>
      </c>
      <c r="D141" s="2"/>
      <c r="E141" s="6"/>
      <c r="F141" s="4"/>
    </row>
    <row r="142" spans="1:6" ht="22.9" customHeight="1">
      <c r="A142" s="2">
        <v>138</v>
      </c>
      <c r="B142" s="5">
        <v>9.0007697000000006E+23</v>
      </c>
      <c r="C142" s="4">
        <v>0.97432474629362409</v>
      </c>
      <c r="D142" s="2"/>
      <c r="E142" s="6"/>
      <c r="F142" s="4"/>
    </row>
    <row r="143" spans="1:6" ht="22.9" customHeight="1">
      <c r="A143" s="2">
        <v>139</v>
      </c>
      <c r="B143" s="5">
        <v>8.6400000000000007E+23</v>
      </c>
      <c r="C143" s="4">
        <v>0.97473067508688238</v>
      </c>
      <c r="D143" s="2"/>
      <c r="E143" s="6"/>
      <c r="F143" s="4"/>
    </row>
    <row r="144" spans="1:6" ht="22.9" customHeight="1">
      <c r="A144" s="2">
        <v>140</v>
      </c>
      <c r="B144" s="5">
        <v>8.6400000000000007E+23</v>
      </c>
      <c r="C144" s="4">
        <v>0.97513660388014078</v>
      </c>
      <c r="D144" s="2"/>
      <c r="E144" s="6"/>
      <c r="F144" s="4"/>
    </row>
    <row r="145" spans="1:6" ht="22.9" customHeight="1">
      <c r="A145" s="2">
        <v>141</v>
      </c>
      <c r="B145" s="5">
        <v>8.5860000000000002E+23</v>
      </c>
      <c r="C145" s="4">
        <v>0.9755399956184414</v>
      </c>
      <c r="D145" s="2"/>
      <c r="E145" s="6"/>
      <c r="F145" s="4"/>
    </row>
    <row r="146" spans="1:6" ht="22.9" customHeight="1">
      <c r="A146" s="2">
        <v>142</v>
      </c>
      <c r="B146" s="5">
        <v>8.2679999999999999E+23</v>
      </c>
      <c r="C146" s="4">
        <v>0.97592844692198999</v>
      </c>
      <c r="D146" s="2"/>
      <c r="E146" s="6"/>
      <c r="F146" s="4"/>
    </row>
    <row r="147" spans="1:6" ht="22.9" customHeight="1">
      <c r="A147" s="2">
        <v>143</v>
      </c>
      <c r="B147" s="5">
        <v>8.2188000000000002E+23</v>
      </c>
      <c r="C147" s="4">
        <v>0.97631458668657722</v>
      </c>
      <c r="D147" s="2"/>
      <c r="E147" s="6"/>
      <c r="F147" s="4"/>
    </row>
    <row r="148" spans="1:6" ht="22.9" customHeight="1">
      <c r="A148" s="2">
        <v>144</v>
      </c>
      <c r="B148" s="5">
        <v>8.1000000000000003E+23</v>
      </c>
      <c r="C148" s="4">
        <v>0.97669514493025689</v>
      </c>
      <c r="D148" s="2"/>
      <c r="E148" s="6"/>
      <c r="F148" s="4"/>
    </row>
    <row r="149" spans="1:6" ht="22.9" customHeight="1">
      <c r="A149" s="2">
        <v>145</v>
      </c>
      <c r="B149" s="5">
        <v>8.1000000000000003E+23</v>
      </c>
      <c r="C149" s="4">
        <v>0.97707570317393666</v>
      </c>
      <c r="D149" s="2"/>
      <c r="E149" s="6"/>
      <c r="F149" s="4"/>
    </row>
    <row r="150" spans="1:6" ht="22.9" customHeight="1">
      <c r="A150" s="2">
        <v>146</v>
      </c>
      <c r="B150" s="5">
        <v>8.0400000000000003E+23</v>
      </c>
      <c r="C150" s="4">
        <v>0.9774534424676633</v>
      </c>
      <c r="D150" s="2"/>
      <c r="E150" s="6"/>
      <c r="F150" s="4"/>
    </row>
    <row r="151" spans="1:6" ht="22.9" customHeight="1">
      <c r="A151" s="2">
        <v>147</v>
      </c>
      <c r="B151" s="5">
        <v>7.8000000000000001E+23</v>
      </c>
      <c r="C151" s="4">
        <v>0.9778199059615772</v>
      </c>
      <c r="D151" s="2"/>
      <c r="E151" s="6"/>
      <c r="F151" s="4"/>
    </row>
    <row r="152" spans="1:6" ht="22.9" customHeight="1">
      <c r="A152" s="2">
        <v>148</v>
      </c>
      <c r="B152" s="5">
        <v>7.74E+23</v>
      </c>
      <c r="C152" s="4">
        <v>0.97818355050553785</v>
      </c>
      <c r="D152" s="2"/>
      <c r="E152" s="6"/>
      <c r="F152" s="4"/>
    </row>
    <row r="153" spans="1:6" ht="22.9" customHeight="1">
      <c r="A153" s="2">
        <v>149</v>
      </c>
      <c r="B153" s="5">
        <v>7.5005116000000004E+23</v>
      </c>
      <c r="C153" s="4">
        <v>0.97853594328593252</v>
      </c>
      <c r="D153" s="2"/>
      <c r="E153" s="6"/>
      <c r="F153" s="4"/>
    </row>
    <row r="154" spans="1:6" ht="22.9" customHeight="1">
      <c r="A154" s="2">
        <v>150</v>
      </c>
      <c r="B154" s="5">
        <v>7.3535999999999997E+23</v>
      </c>
      <c r="C154" s="4">
        <v>0.97888143379219472</v>
      </c>
      <c r="D154" s="2"/>
      <c r="E154" s="6"/>
      <c r="F154" s="4"/>
    </row>
    <row r="155" spans="1:6" ht="22.9" customHeight="1">
      <c r="A155" s="2">
        <v>151</v>
      </c>
      <c r="B155" s="5">
        <v>7.3439999999999995E+23</v>
      </c>
      <c r="C155" s="4">
        <v>0.97922647326646428</v>
      </c>
      <c r="D155" s="2"/>
      <c r="E155" s="6"/>
      <c r="F155" s="4"/>
    </row>
    <row r="156" spans="1:6" ht="22.9" customHeight="1">
      <c r="A156" s="2">
        <v>152</v>
      </c>
      <c r="B156" s="5">
        <v>7.3199999999999997E+23</v>
      </c>
      <c r="C156" s="4">
        <v>0.97957038516075268</v>
      </c>
      <c r="D156" s="2"/>
      <c r="E156" s="6"/>
      <c r="F156" s="4"/>
    </row>
    <row r="157" spans="1:6" ht="22.9" customHeight="1">
      <c r="A157" s="2">
        <v>153</v>
      </c>
      <c r="B157" s="5">
        <v>7.1999999999999997E+23</v>
      </c>
      <c r="C157" s="4">
        <v>0.9799086591551347</v>
      </c>
      <c r="D157" s="2"/>
      <c r="E157" s="6"/>
      <c r="F157" s="4"/>
    </row>
    <row r="158" spans="1:6" ht="22.9" customHeight="1">
      <c r="A158" s="2">
        <v>154</v>
      </c>
      <c r="B158" s="5">
        <v>7.1999999999999997E+23</v>
      </c>
      <c r="C158" s="4">
        <v>0.98024693314951672</v>
      </c>
      <c r="D158" s="2"/>
      <c r="E158" s="6"/>
      <c r="F158" s="4"/>
    </row>
    <row r="159" spans="1:6" ht="22.9" customHeight="1">
      <c r="A159" s="2">
        <v>155</v>
      </c>
      <c r="B159" s="5">
        <v>6.4800000000000005E+23</v>
      </c>
      <c r="C159" s="4">
        <v>0.98055137974446049</v>
      </c>
      <c r="D159" s="2"/>
      <c r="E159" s="6"/>
      <c r="F159" s="4"/>
    </row>
    <row r="160" spans="1:6" ht="22.9" customHeight="1">
      <c r="A160" s="2">
        <v>156</v>
      </c>
      <c r="B160" s="5">
        <v>6.3100000000000006E+23</v>
      </c>
      <c r="C160" s="4">
        <v>0.98084783931453701</v>
      </c>
      <c r="D160" s="2"/>
      <c r="E160" s="6"/>
      <c r="F160" s="4"/>
    </row>
    <row r="161" spans="1:6" ht="22.9" customHeight="1">
      <c r="A161" s="2">
        <v>157</v>
      </c>
      <c r="B161" s="5">
        <v>6.3000000000000004E+23</v>
      </c>
      <c r="C161" s="4">
        <v>0.98114382905962128</v>
      </c>
      <c r="D161" s="2"/>
      <c r="E161" s="6"/>
      <c r="F161" s="4"/>
    </row>
    <row r="162" spans="1:6" ht="22.9" customHeight="1">
      <c r="A162" s="2">
        <v>158</v>
      </c>
      <c r="B162" s="5">
        <v>6.2400000000000003E+23</v>
      </c>
      <c r="C162" s="4">
        <v>0.9814369998547523</v>
      </c>
      <c r="D162" s="2"/>
      <c r="E162" s="6"/>
      <c r="F162" s="4"/>
    </row>
    <row r="163" spans="1:6" ht="22.9" customHeight="1">
      <c r="A163" s="2">
        <v>159</v>
      </c>
      <c r="B163" s="5">
        <v>6.1999999999999994E+23</v>
      </c>
      <c r="C163" s="4">
        <v>0.98172829134991468</v>
      </c>
      <c r="D163" s="2"/>
      <c r="E163" s="6"/>
      <c r="F163" s="4"/>
    </row>
    <row r="164" spans="1:6" ht="22.9" customHeight="1">
      <c r="A164" s="2">
        <v>160</v>
      </c>
      <c r="B164" s="5">
        <v>6.1200000000000003E+23</v>
      </c>
      <c r="C164" s="4">
        <v>0.98201582424513933</v>
      </c>
      <c r="D164" s="2"/>
      <c r="E164" s="6"/>
      <c r="F164" s="4"/>
    </row>
    <row r="165" spans="1:6" ht="22.9" customHeight="1">
      <c r="A165" s="2">
        <v>161</v>
      </c>
      <c r="B165" s="5">
        <v>6.0999999999999998E+23</v>
      </c>
      <c r="C165" s="4">
        <v>0.98230241749037972</v>
      </c>
      <c r="D165" s="2"/>
      <c r="E165" s="6"/>
      <c r="F165" s="4"/>
    </row>
    <row r="166" spans="1:6" ht="22.9" customHeight="1">
      <c r="A166" s="2">
        <v>162</v>
      </c>
      <c r="B166" s="5">
        <v>6.0479999999999997E+23</v>
      </c>
      <c r="C166" s="4">
        <v>0.98258656764566055</v>
      </c>
      <c r="D166" s="2"/>
      <c r="E166" s="6"/>
      <c r="F166" s="4"/>
    </row>
    <row r="167" spans="1:6" ht="22.9" customHeight="1">
      <c r="A167" s="2">
        <v>163</v>
      </c>
      <c r="B167" s="5">
        <v>5.8800000000000001E+23</v>
      </c>
      <c r="C167" s="4">
        <v>0.98286282474107256</v>
      </c>
      <c r="D167" s="2"/>
      <c r="E167" s="6"/>
      <c r="F167" s="4"/>
    </row>
    <row r="168" spans="1:6" ht="22.9" customHeight="1">
      <c r="A168" s="2">
        <v>164</v>
      </c>
      <c r="B168" s="5">
        <v>5.8319999999999999E+23</v>
      </c>
      <c r="C168" s="4">
        <v>0.98313682667652202</v>
      </c>
      <c r="D168" s="2"/>
      <c r="E168" s="6"/>
      <c r="F168" s="4"/>
    </row>
    <row r="169" spans="1:6" ht="22.9" customHeight="1">
      <c r="A169" s="2">
        <v>165</v>
      </c>
      <c r="B169" s="5">
        <v>5.8319999999999999E+23</v>
      </c>
      <c r="C169" s="4">
        <v>0.98341082861197149</v>
      </c>
      <c r="D169" s="2"/>
      <c r="E169" s="6"/>
      <c r="F169" s="4"/>
    </row>
    <row r="170" spans="1:6" ht="22.9" customHeight="1">
      <c r="A170" s="2">
        <v>166</v>
      </c>
      <c r="B170" s="5">
        <v>5.79E+23</v>
      </c>
      <c r="C170" s="4">
        <v>0.98368285728245364</v>
      </c>
      <c r="D170" s="2"/>
      <c r="E170" s="6"/>
      <c r="F170" s="4"/>
    </row>
    <row r="171" spans="1:6" ht="22.9" customHeight="1">
      <c r="A171" s="2">
        <v>167</v>
      </c>
      <c r="B171" s="5">
        <v>5.76E+23</v>
      </c>
      <c r="C171" s="4">
        <v>0.98395347647795928</v>
      </c>
      <c r="D171" s="2"/>
      <c r="E171" s="6"/>
      <c r="F171" s="4"/>
    </row>
    <row r="172" spans="1:6" ht="22.9" customHeight="1">
      <c r="A172" s="2">
        <v>168</v>
      </c>
      <c r="B172" s="5">
        <v>5.6000000000000003E+23</v>
      </c>
      <c r="C172" s="4">
        <v>0.98421657847358979</v>
      </c>
      <c r="D172" s="2"/>
      <c r="E172" s="6"/>
      <c r="F172" s="4"/>
    </row>
    <row r="173" spans="1:6" ht="22.9" customHeight="1">
      <c r="A173" s="2">
        <v>169</v>
      </c>
      <c r="B173" s="5">
        <v>5.5E+23</v>
      </c>
      <c r="C173" s="4">
        <v>0.98447498221929819</v>
      </c>
      <c r="D173" s="2"/>
      <c r="E173" s="6"/>
      <c r="F173" s="4"/>
    </row>
    <row r="174" spans="1:6" ht="22.9" customHeight="1">
      <c r="A174" s="2">
        <v>170</v>
      </c>
      <c r="B174" s="5">
        <v>5.4899999999999998E+23</v>
      </c>
      <c r="C174" s="4">
        <v>0.98473291614001446</v>
      </c>
      <c r="D174" s="2"/>
      <c r="E174" s="6"/>
      <c r="F174" s="4"/>
    </row>
    <row r="175" spans="1:6" ht="22.9" customHeight="1">
      <c r="A175" s="2">
        <v>171</v>
      </c>
      <c r="B175" s="5">
        <v>5.3000000000000001E+23</v>
      </c>
      <c r="C175" s="4">
        <v>0.98498192338587898</v>
      </c>
      <c r="D175" s="2"/>
      <c r="E175" s="6"/>
      <c r="F175" s="4"/>
    </row>
    <row r="176" spans="1:6" ht="22.9" customHeight="1">
      <c r="A176" s="2">
        <v>172</v>
      </c>
      <c r="B176" s="5">
        <v>5.1810000000000002E+23</v>
      </c>
      <c r="C176" s="4">
        <v>0.98522533971433635</v>
      </c>
      <c r="D176" s="2"/>
      <c r="E176" s="6"/>
      <c r="F176" s="4"/>
    </row>
    <row r="177" spans="1:6" ht="22.9" customHeight="1">
      <c r="A177" s="2">
        <v>173</v>
      </c>
      <c r="B177" s="5">
        <v>5.09607936E+23</v>
      </c>
      <c r="C177" s="4">
        <v>0.98546476625889123</v>
      </c>
      <c r="D177" s="2"/>
      <c r="E177" s="6"/>
      <c r="F177" s="4"/>
    </row>
    <row r="178" spans="1:6" ht="22.9" customHeight="1">
      <c r="A178" s="2">
        <v>174</v>
      </c>
      <c r="B178" s="5">
        <v>4.86E+23</v>
      </c>
      <c r="C178" s="4">
        <v>0.98569310120509923</v>
      </c>
      <c r="D178" s="2"/>
      <c r="E178" s="6"/>
      <c r="F178" s="4"/>
    </row>
    <row r="179" spans="1:6" ht="22.9" customHeight="1">
      <c r="A179" s="2">
        <v>175</v>
      </c>
      <c r="B179" s="5">
        <v>4.77E+23</v>
      </c>
      <c r="C179" s="4">
        <v>0.98591720772637736</v>
      </c>
      <c r="D179" s="2"/>
      <c r="E179" s="6"/>
      <c r="F179" s="4"/>
    </row>
    <row r="180" spans="1:6" ht="22.9" customHeight="1">
      <c r="A180" s="2">
        <v>176</v>
      </c>
      <c r="B180" s="5">
        <v>4.6699999999999997E+23</v>
      </c>
      <c r="C180" s="4">
        <v>0.9861366159977335</v>
      </c>
      <c r="D180" s="2"/>
      <c r="E180" s="6"/>
      <c r="F180" s="4"/>
    </row>
    <row r="181" spans="1:6" ht="22.9" customHeight="1">
      <c r="A181" s="2">
        <v>177</v>
      </c>
      <c r="B181" s="5">
        <v>4.6000000000000001E+23</v>
      </c>
      <c r="C181" s="4">
        <v>0.98635273549414415</v>
      </c>
      <c r="D181" s="2"/>
      <c r="E181" s="6"/>
      <c r="F181" s="4"/>
    </row>
    <row r="182" spans="1:6" ht="22.9" customHeight="1">
      <c r="A182" s="2">
        <v>178</v>
      </c>
      <c r="B182" s="5">
        <v>4.5125999999999998E+23</v>
      </c>
      <c r="C182" s="4">
        <v>0.98656474872012312</v>
      </c>
      <c r="D182" s="2"/>
      <c r="E182" s="6"/>
      <c r="F182" s="4"/>
    </row>
    <row r="183" spans="1:6" ht="22.9" customHeight="1">
      <c r="A183" s="2">
        <v>179</v>
      </c>
      <c r="B183" s="5">
        <v>4.4300000000000002E+23</v>
      </c>
      <c r="C183" s="4">
        <v>0.98677288119166651</v>
      </c>
      <c r="D183" s="2"/>
      <c r="E183" s="6"/>
      <c r="F183" s="4"/>
    </row>
    <row r="184" spans="1:6" ht="22.9" customHeight="1">
      <c r="A184" s="2">
        <v>180</v>
      </c>
      <c r="B184" s="5">
        <v>4.3599999999999999E+23</v>
      </c>
      <c r="C184" s="4">
        <v>0.98697772488826452</v>
      </c>
      <c r="D184" s="2"/>
      <c r="E184" s="6"/>
      <c r="F184" s="4"/>
    </row>
    <row r="185" spans="1:6" ht="22.9" customHeight="1">
      <c r="A185" s="2">
        <v>181</v>
      </c>
      <c r="B185" s="5">
        <v>4.3596130999999999E+23</v>
      </c>
      <c r="C185" s="4">
        <v>0.9871825504073336</v>
      </c>
      <c r="D185" s="2"/>
      <c r="E185" s="6"/>
      <c r="F185" s="4"/>
    </row>
    <row r="186" spans="1:6" ht="22.9" customHeight="1">
      <c r="A186" s="2">
        <v>182</v>
      </c>
      <c r="B186" s="5">
        <v>4.3200000000000003E+23</v>
      </c>
      <c r="C186" s="4">
        <v>0.98738551480396286</v>
      </c>
      <c r="D186" s="2"/>
      <c r="E186" s="6"/>
      <c r="F186" s="4"/>
    </row>
    <row r="187" spans="1:6" ht="22.9" customHeight="1">
      <c r="A187" s="2">
        <v>183</v>
      </c>
      <c r="B187" s="5">
        <v>4.2999999999999999E+23</v>
      </c>
      <c r="C187" s="4">
        <v>0.98758753955060763</v>
      </c>
      <c r="D187" s="2"/>
      <c r="E187" s="6"/>
      <c r="F187" s="4"/>
    </row>
    <row r="188" spans="1:6" ht="22.9" customHeight="1">
      <c r="A188" s="2">
        <v>184</v>
      </c>
      <c r="B188" s="5">
        <v>4.2099999999999998E+23</v>
      </c>
      <c r="C188" s="4">
        <v>0.98778533587232276</v>
      </c>
      <c r="D188" s="2"/>
      <c r="E188" s="6"/>
      <c r="F188" s="4"/>
    </row>
    <row r="189" spans="1:6" ht="22.9" customHeight="1">
      <c r="A189" s="2">
        <v>185</v>
      </c>
      <c r="B189" s="5">
        <v>4.2000000000000003E+23</v>
      </c>
      <c r="C189" s="4">
        <v>0.98798266236904564</v>
      </c>
      <c r="D189" s="2"/>
      <c r="E189" s="6"/>
      <c r="F189" s="4"/>
    </row>
    <row r="190" spans="1:6" ht="22.9" customHeight="1">
      <c r="A190" s="2">
        <v>186</v>
      </c>
      <c r="B190" s="5">
        <v>4.2000000000000003E+23</v>
      </c>
      <c r="C190" s="4">
        <v>0.98817998886576852</v>
      </c>
      <c r="D190" s="2"/>
      <c r="E190" s="6"/>
      <c r="F190" s="4"/>
    </row>
    <row r="191" spans="1:6" ht="22.9" customHeight="1">
      <c r="A191" s="2">
        <v>187</v>
      </c>
      <c r="B191" s="5">
        <v>4.0800000000000002E+23</v>
      </c>
      <c r="C191" s="4">
        <v>0.98837167746258492</v>
      </c>
      <c r="D191" s="2"/>
      <c r="E191" s="6"/>
      <c r="F191" s="4"/>
    </row>
    <row r="192" spans="1:6" ht="22.9" customHeight="1">
      <c r="A192" s="2">
        <v>188</v>
      </c>
      <c r="B192" s="5">
        <v>4.0500000000000001E+23</v>
      </c>
      <c r="C192" s="4">
        <v>0.98856195658442481</v>
      </c>
      <c r="D192" s="2"/>
      <c r="E192" s="6"/>
      <c r="F192" s="4"/>
    </row>
    <row r="193" spans="1:6" ht="22.9" customHeight="1">
      <c r="A193" s="2">
        <v>189</v>
      </c>
      <c r="B193" s="5">
        <v>4.032E+23</v>
      </c>
      <c r="C193" s="4">
        <v>0.98875139002127876</v>
      </c>
      <c r="D193" s="2"/>
      <c r="E193" s="6"/>
      <c r="F193" s="4"/>
    </row>
    <row r="194" spans="1:6" ht="22.9" customHeight="1">
      <c r="A194" s="2">
        <v>190</v>
      </c>
      <c r="B194" s="5">
        <v>3.9999999999999997E+23</v>
      </c>
      <c r="C194" s="4">
        <v>0.98893932001815765</v>
      </c>
      <c r="D194" s="2"/>
      <c r="E194" s="6"/>
      <c r="F194" s="4"/>
    </row>
    <row r="195" spans="1:6" ht="22.9" customHeight="1">
      <c r="A195" s="2">
        <v>191</v>
      </c>
      <c r="B195" s="5">
        <v>3.9600000000000001E+23</v>
      </c>
      <c r="C195" s="4">
        <v>0.98912537071506779</v>
      </c>
      <c r="D195" s="2"/>
      <c r="E195" s="6"/>
      <c r="F195" s="4"/>
    </row>
    <row r="196" spans="1:6" ht="22.9" customHeight="1">
      <c r="A196" s="2">
        <v>192</v>
      </c>
      <c r="B196" s="5">
        <v>3.9391101E+23</v>
      </c>
      <c r="C196" s="4">
        <v>0.98931043995226742</v>
      </c>
      <c r="D196" s="2"/>
      <c r="E196" s="6"/>
      <c r="F196" s="4"/>
    </row>
    <row r="197" spans="1:6" ht="22.9" customHeight="1">
      <c r="A197" s="2">
        <v>193</v>
      </c>
      <c r="B197" s="5">
        <v>3.87E+23</v>
      </c>
      <c r="C197" s="4">
        <v>0.98949226222424769</v>
      </c>
      <c r="D197" s="2"/>
      <c r="E197" s="6"/>
      <c r="F197" s="4"/>
    </row>
    <row r="198" spans="1:6" ht="22.9" customHeight="1">
      <c r="A198" s="2">
        <v>194</v>
      </c>
      <c r="B198" s="5">
        <v>3.8410919999999999E+23</v>
      </c>
      <c r="C198" s="4">
        <v>0.98967272632614056</v>
      </c>
      <c r="D198" s="2"/>
      <c r="E198" s="6"/>
      <c r="F198" s="4"/>
    </row>
    <row r="199" spans="1:6" ht="22.9" customHeight="1">
      <c r="A199" s="2">
        <v>195</v>
      </c>
      <c r="B199" s="5">
        <v>3.8347175E+23</v>
      </c>
      <c r="C199" s="4">
        <v>0.98985289093809214</v>
      </c>
      <c r="D199" s="2"/>
      <c r="E199" s="6"/>
      <c r="F199" s="4"/>
    </row>
    <row r="200" spans="1:6" ht="22.9" customHeight="1">
      <c r="A200" s="2">
        <v>196</v>
      </c>
      <c r="B200" s="5">
        <v>3.7800000000001E+23</v>
      </c>
      <c r="C200" s="4">
        <v>0.99003048478514277</v>
      </c>
      <c r="D200" s="2"/>
      <c r="E200" s="6"/>
      <c r="F200" s="4"/>
    </row>
    <row r="201" spans="1:6" ht="22.9" customHeight="1">
      <c r="A201" s="2">
        <v>197</v>
      </c>
      <c r="B201" s="5">
        <v>3.7000000000000001E+23</v>
      </c>
      <c r="C201" s="4">
        <v>0.99020432003225578</v>
      </c>
      <c r="D201" s="2"/>
      <c r="E201" s="6"/>
      <c r="F201" s="4"/>
    </row>
    <row r="202" spans="1:6" ht="22.9" customHeight="1">
      <c r="A202" s="2">
        <v>198</v>
      </c>
      <c r="B202" s="5">
        <v>3.6719999999999997E+23</v>
      </c>
      <c r="C202" s="4">
        <v>0.9903768397693905</v>
      </c>
      <c r="D202" s="2"/>
      <c r="E202" s="6"/>
      <c r="F202" s="4"/>
    </row>
    <row r="203" spans="1:6" ht="22.9" customHeight="1">
      <c r="A203" s="2">
        <v>199</v>
      </c>
      <c r="B203" s="5">
        <v>3.6566399999999997E+23</v>
      </c>
      <c r="C203" s="4">
        <v>0.99054863785533731</v>
      </c>
      <c r="D203" s="2"/>
      <c r="E203" s="6"/>
      <c r="F203" s="4"/>
    </row>
    <row r="204" spans="1:6" ht="22.9" customHeight="1">
      <c r="A204" s="2">
        <v>200</v>
      </c>
      <c r="B204" s="5">
        <v>3.6363112434E+23</v>
      </c>
      <c r="C204" s="4">
        <v>0.99071948084549311</v>
      </c>
      <c r="D204" s="2"/>
      <c r="E204" s="6"/>
      <c r="F204" s="4"/>
    </row>
    <row r="205" spans="1:6" ht="22.9" customHeight="1">
      <c r="A205" s="2">
        <v>201</v>
      </c>
      <c r="B205" s="5">
        <v>3.5999999999999998E+23</v>
      </c>
      <c r="C205" s="4">
        <v>0.99088861784268412</v>
      </c>
      <c r="D205" s="2"/>
      <c r="E205" s="6"/>
      <c r="F205" s="4"/>
    </row>
    <row r="206" spans="1:6" ht="22.9" customHeight="1">
      <c r="A206" s="2">
        <v>202</v>
      </c>
      <c r="B206" s="5">
        <v>3.55E+23</v>
      </c>
      <c r="C206" s="4">
        <v>0.99105540571491413</v>
      </c>
      <c r="D206" s="2"/>
      <c r="E206" s="6"/>
      <c r="F206" s="4"/>
    </row>
    <row r="207" spans="1:6" ht="22.9" customHeight="1">
      <c r="A207" s="2">
        <v>203</v>
      </c>
      <c r="B207" s="5">
        <v>3.5490054944999999E+23</v>
      </c>
      <c r="C207" s="4">
        <v>0.99122214686279031</v>
      </c>
      <c r="D207" s="2"/>
      <c r="E207" s="6"/>
      <c r="F207" s="4"/>
    </row>
    <row r="208" spans="1:6" ht="22.9" customHeight="1">
      <c r="A208" s="2">
        <v>204</v>
      </c>
      <c r="B208" s="5">
        <v>3.5460999999999997E+23</v>
      </c>
      <c r="C208" s="4">
        <v>0.99138875150327332</v>
      </c>
      <c r="D208" s="2"/>
      <c r="E208" s="6"/>
      <c r="F208" s="4"/>
    </row>
    <row r="209" spans="1:6" ht="22.9" customHeight="1">
      <c r="A209" s="2">
        <v>205</v>
      </c>
      <c r="B209" s="5">
        <v>3.5380000000001001E+23</v>
      </c>
      <c r="C209" s="4">
        <v>0.99155497558551275</v>
      </c>
      <c r="D209" s="2"/>
      <c r="E209" s="6"/>
      <c r="F209" s="4"/>
    </row>
    <row r="210" spans="1:6" ht="22.9" customHeight="1">
      <c r="A210" s="2">
        <v>206</v>
      </c>
      <c r="B210" s="5">
        <v>3.5300000000000002E+23</v>
      </c>
      <c r="C210" s="4">
        <v>0.99172082380775828</v>
      </c>
      <c r="D210" s="2"/>
      <c r="E210" s="6"/>
      <c r="F210" s="4"/>
    </row>
    <row r="211" spans="1:6" ht="22.9" customHeight="1">
      <c r="A211" s="2">
        <v>207</v>
      </c>
      <c r="B211" s="5">
        <v>3.3695784000000003E+23</v>
      </c>
      <c r="C211" s="4">
        <v>0.99187913502230707</v>
      </c>
      <c r="D211" s="2"/>
      <c r="E211" s="6"/>
      <c r="F211" s="4"/>
    </row>
    <row r="212" spans="1:6" ht="22.9" customHeight="1">
      <c r="A212" s="2">
        <v>208</v>
      </c>
      <c r="B212" s="5">
        <v>3.3599999999999997E+23</v>
      </c>
      <c r="C212" s="4">
        <v>0.99203699621968533</v>
      </c>
      <c r="D212" s="2"/>
      <c r="E212" s="6"/>
      <c r="F212" s="4"/>
    </row>
    <row r="213" spans="1:6" ht="22.9" customHeight="1">
      <c r="A213" s="2">
        <v>209</v>
      </c>
      <c r="B213" s="5">
        <v>3.3399700602E+23</v>
      </c>
      <c r="C213" s="4">
        <v>0.99219391636043264</v>
      </c>
      <c r="D213" s="2"/>
      <c r="E213" s="6"/>
      <c r="F213" s="4"/>
    </row>
    <row r="214" spans="1:6" ht="22.9" customHeight="1">
      <c r="A214" s="2">
        <v>210</v>
      </c>
      <c r="B214" s="5">
        <v>3.3372000000000001E+23</v>
      </c>
      <c r="C214" s="4">
        <v>0.99235070635682876</v>
      </c>
      <c r="D214" s="2"/>
      <c r="E214" s="6"/>
      <c r="F214" s="4"/>
    </row>
    <row r="215" spans="1:6" ht="22.9" customHeight="1">
      <c r="A215" s="2">
        <v>211</v>
      </c>
      <c r="B215" s="5">
        <v>3.2400000000000003E+23</v>
      </c>
      <c r="C215" s="4">
        <v>0.99250292965430076</v>
      </c>
      <c r="D215" s="2"/>
      <c r="E215" s="6"/>
      <c r="F215" s="4"/>
    </row>
    <row r="216" spans="1:6" ht="22.9" customHeight="1">
      <c r="A216" s="2">
        <v>212</v>
      </c>
      <c r="B216" s="5">
        <v>3.1500000000000002E+23</v>
      </c>
      <c r="C216" s="4">
        <v>0.99265092452684289</v>
      </c>
      <c r="D216" s="2"/>
      <c r="E216" s="6"/>
      <c r="F216" s="4"/>
    </row>
    <row r="217" spans="1:6" ht="22.9" customHeight="1">
      <c r="A217" s="2">
        <v>213</v>
      </c>
      <c r="B217" s="5">
        <v>3.14E+23</v>
      </c>
      <c r="C217" s="4">
        <v>0.99279844957439278</v>
      </c>
      <c r="D217" s="2"/>
      <c r="E217" s="6"/>
      <c r="F217" s="4"/>
    </row>
    <row r="218" spans="1:6" ht="22.9" customHeight="1">
      <c r="A218" s="2">
        <v>214</v>
      </c>
      <c r="B218" s="5">
        <v>3.1200000000000002E+23</v>
      </c>
      <c r="C218" s="4">
        <v>0.99294503497195841</v>
      </c>
      <c r="D218" s="2"/>
      <c r="E218" s="6"/>
      <c r="F218" s="4"/>
    </row>
    <row r="219" spans="1:6" ht="22.9" customHeight="1">
      <c r="A219" s="2">
        <v>215</v>
      </c>
      <c r="B219" s="5">
        <v>3.0900000000000001E+23</v>
      </c>
      <c r="C219" s="4">
        <v>0.9930902108945473</v>
      </c>
      <c r="D219" s="2"/>
      <c r="E219" s="6"/>
      <c r="F219" s="4"/>
    </row>
    <row r="220" spans="1:6" ht="22.9" customHeight="1">
      <c r="A220" s="2">
        <v>216</v>
      </c>
      <c r="B220" s="5">
        <v>3.0743999999999997E+23</v>
      </c>
      <c r="C220" s="4">
        <v>0.99323465389014842</v>
      </c>
      <c r="D220" s="2"/>
      <c r="E220" s="6"/>
      <c r="F220" s="4"/>
    </row>
    <row r="221" spans="1:6" ht="22.9" customHeight="1">
      <c r="A221" s="2">
        <v>217</v>
      </c>
      <c r="B221" s="5">
        <v>3.0699999999999997E+23</v>
      </c>
      <c r="C221" s="4">
        <v>0.99337889016275294</v>
      </c>
      <c r="D221" s="2"/>
      <c r="E221" s="6"/>
      <c r="F221" s="4"/>
    </row>
    <row r="222" spans="1:6" ht="22.9" customHeight="1">
      <c r="A222" s="2">
        <v>218</v>
      </c>
      <c r="B222" s="5">
        <v>3.0202896E+23</v>
      </c>
      <c r="C222" s="4">
        <v>0.99352079091652834</v>
      </c>
      <c r="D222" s="2"/>
      <c r="E222" s="6"/>
      <c r="F222" s="4"/>
    </row>
    <row r="223" spans="1:6" ht="22.9" customHeight="1">
      <c r="A223" s="2">
        <v>219</v>
      </c>
      <c r="B223" s="5">
        <v>3.0000000000001001E+23</v>
      </c>
      <c r="C223" s="4">
        <v>0.99366173841418759</v>
      </c>
      <c r="D223" s="2"/>
      <c r="E223" s="6"/>
      <c r="F223" s="4"/>
    </row>
    <row r="224" spans="1:6" ht="22.9" customHeight="1">
      <c r="A224" s="2">
        <v>220</v>
      </c>
      <c r="B224" s="5">
        <v>2.9499999999999999E+23</v>
      </c>
      <c r="C224" s="4">
        <v>0.99380033678688573</v>
      </c>
      <c r="D224" s="2"/>
      <c r="E224" s="6"/>
      <c r="F224" s="4"/>
    </row>
    <row r="225" spans="1:6" ht="22.9" customHeight="1">
      <c r="A225" s="2">
        <v>221</v>
      </c>
      <c r="B225" s="5">
        <v>2.9400000000001E+23</v>
      </c>
      <c r="C225" s="4">
        <v>0.99393846533459174</v>
      </c>
      <c r="D225" s="2"/>
      <c r="E225" s="6"/>
      <c r="F225" s="4"/>
    </row>
    <row r="226" spans="1:6" ht="22.9" customHeight="1">
      <c r="A226" s="2">
        <v>222</v>
      </c>
      <c r="B226" s="5">
        <v>2.91E+23</v>
      </c>
      <c r="C226" s="4">
        <v>0.99407518440732112</v>
      </c>
      <c r="D226" s="2"/>
      <c r="E226" s="6"/>
      <c r="F226" s="4"/>
    </row>
    <row r="227" spans="1:6" ht="22.9" customHeight="1">
      <c r="A227" s="2">
        <v>223</v>
      </c>
      <c r="B227" s="5">
        <v>2.9000000000000001E+23</v>
      </c>
      <c r="C227" s="4">
        <v>0.99421143365505849</v>
      </c>
      <c r="D227" s="2"/>
      <c r="E227" s="6"/>
      <c r="F227" s="4"/>
    </row>
    <row r="228" spans="1:6" ht="22.9" customHeight="1">
      <c r="A228" s="2">
        <v>224</v>
      </c>
      <c r="B228" s="5">
        <v>2.7385671435999999E+23</v>
      </c>
      <c r="C228" s="4">
        <v>0.99434009838374571</v>
      </c>
      <c r="D228" s="2"/>
      <c r="E228" s="6"/>
      <c r="F228" s="4"/>
    </row>
    <row r="229" spans="1:6" ht="22.9" customHeight="1">
      <c r="A229" s="2">
        <v>225</v>
      </c>
      <c r="B229" s="5">
        <v>2.7300000000000999E+23</v>
      </c>
      <c r="C229" s="4">
        <v>0.99446836060661559</v>
      </c>
      <c r="D229" s="2"/>
      <c r="E229" s="6"/>
      <c r="F229" s="4"/>
    </row>
    <row r="230" spans="1:6" ht="22.9" customHeight="1">
      <c r="A230" s="2">
        <v>226</v>
      </c>
      <c r="B230" s="5">
        <v>2.6999999999999999E+23</v>
      </c>
      <c r="C230" s="4">
        <v>0.99459521335450884</v>
      </c>
      <c r="D230" s="2"/>
      <c r="E230" s="6"/>
      <c r="F230" s="4"/>
    </row>
    <row r="231" spans="1:6" ht="22.9" customHeight="1">
      <c r="A231" s="2">
        <v>227</v>
      </c>
      <c r="B231" s="5">
        <v>2.6999999999999999E+23</v>
      </c>
      <c r="C231" s="4">
        <v>0.9947220661024021</v>
      </c>
      <c r="D231" s="2"/>
      <c r="E231" s="6"/>
      <c r="F231" s="4"/>
    </row>
    <row r="232" spans="1:6" ht="22.9" customHeight="1">
      <c r="A232" s="2">
        <v>228</v>
      </c>
      <c r="B232" s="5">
        <v>2.5739999999999999E+23</v>
      </c>
      <c r="C232" s="4">
        <v>0.99484299905539364</v>
      </c>
      <c r="D232" s="2"/>
      <c r="E232" s="6"/>
      <c r="F232" s="4"/>
    </row>
    <row r="233" spans="1:6" ht="22.9" customHeight="1">
      <c r="A233" s="2">
        <v>229</v>
      </c>
      <c r="B233" s="5">
        <v>2.5113000000000001E+23</v>
      </c>
      <c r="C233" s="4">
        <v>0.99496098620568418</v>
      </c>
      <c r="D233" s="2"/>
      <c r="E233" s="6"/>
      <c r="F233" s="4"/>
    </row>
    <row r="234" spans="1:6" ht="22.9" customHeight="1">
      <c r="A234" s="2">
        <v>230</v>
      </c>
      <c r="B234" s="5">
        <v>2.5E+23</v>
      </c>
      <c r="C234" s="4">
        <v>0.99507844245373345</v>
      </c>
      <c r="D234" s="2"/>
      <c r="E234" s="6"/>
      <c r="F234" s="4"/>
    </row>
    <row r="235" spans="1:6" ht="22.9" customHeight="1">
      <c r="A235" s="2">
        <v>231</v>
      </c>
      <c r="B235" s="5">
        <v>2.5E+23</v>
      </c>
      <c r="C235" s="4">
        <v>0.99519589870178282</v>
      </c>
      <c r="D235" s="2"/>
      <c r="E235" s="6"/>
      <c r="F235" s="4"/>
    </row>
    <row r="236" spans="1:6" ht="22.9" customHeight="1">
      <c r="A236" s="2">
        <v>232</v>
      </c>
      <c r="B236" s="5">
        <v>2.5E+23</v>
      </c>
      <c r="C236" s="4">
        <v>0.9953133549498322</v>
      </c>
      <c r="D236" s="2"/>
      <c r="E236" s="6"/>
      <c r="F236" s="4"/>
    </row>
    <row r="237" spans="1:6" ht="22.9" customHeight="1">
      <c r="A237" s="2">
        <v>233</v>
      </c>
      <c r="B237" s="5">
        <v>2.4399999999999999E+23</v>
      </c>
      <c r="C237" s="4">
        <v>0.99542799224792822</v>
      </c>
      <c r="D237" s="2"/>
      <c r="E237" s="6"/>
      <c r="F237" s="4"/>
    </row>
    <row r="238" spans="1:6" ht="22.9" customHeight="1">
      <c r="A238" s="2">
        <v>234</v>
      </c>
      <c r="B238" s="5">
        <v>2.4E+23</v>
      </c>
      <c r="C238" s="4">
        <v>0.99554075024605559</v>
      </c>
      <c r="D238" s="2"/>
      <c r="E238" s="6"/>
      <c r="F238" s="4"/>
    </row>
    <row r="239" spans="1:6" ht="22.9" customHeight="1">
      <c r="A239" s="2">
        <v>235</v>
      </c>
      <c r="B239" s="5">
        <v>2.4E+23</v>
      </c>
      <c r="C239" s="4">
        <v>0.99565350824418286</v>
      </c>
      <c r="D239" s="2"/>
      <c r="E239" s="6"/>
      <c r="F239" s="4"/>
    </row>
    <row r="240" spans="1:6" ht="22.9" customHeight="1">
      <c r="A240" s="2">
        <v>236</v>
      </c>
      <c r="B240" s="5">
        <v>2.4E+23</v>
      </c>
      <c r="C240" s="4">
        <v>0.99576626624231024</v>
      </c>
      <c r="D240" s="2"/>
      <c r="E240" s="6"/>
      <c r="F240" s="4"/>
    </row>
    <row r="241" spans="1:6" ht="22.9" customHeight="1">
      <c r="A241" s="2">
        <v>237</v>
      </c>
      <c r="B241" s="5">
        <v>2.38010000000001E+23</v>
      </c>
      <c r="C241" s="4">
        <v>0.99587808928870314</v>
      </c>
      <c r="D241" s="2"/>
      <c r="E241" s="6"/>
      <c r="F241" s="4"/>
    </row>
    <row r="242" spans="1:6" ht="22.9" customHeight="1">
      <c r="A242" s="2">
        <v>238</v>
      </c>
      <c r="B242" s="5">
        <v>2.3600000000000001E+23</v>
      </c>
      <c r="C242" s="4">
        <v>0.99598896798686176</v>
      </c>
      <c r="D242" s="2"/>
      <c r="E242" s="6"/>
      <c r="F242" s="4"/>
    </row>
    <row r="243" spans="1:6" ht="22.9" customHeight="1">
      <c r="A243" s="2">
        <v>239</v>
      </c>
      <c r="B243" s="5">
        <v>2.2000000000000001E+23</v>
      </c>
      <c r="C243" s="4">
        <v>0.99609232948514514</v>
      </c>
      <c r="D243" s="2"/>
      <c r="E243" s="6"/>
      <c r="F243" s="4"/>
    </row>
    <row r="244" spans="1:6" ht="22.9" customHeight="1">
      <c r="A244" s="2">
        <v>240</v>
      </c>
      <c r="B244" s="5">
        <v>2.1444091999999998E+23</v>
      </c>
      <c r="C244" s="4">
        <v>0.99619307918871081</v>
      </c>
      <c r="D244" s="2"/>
      <c r="E244" s="6"/>
      <c r="F244" s="4"/>
    </row>
    <row r="245" spans="1:6" ht="22.9" customHeight="1">
      <c r="A245" s="2">
        <v>241</v>
      </c>
      <c r="B245" s="5">
        <v>2.1312E+23</v>
      </c>
      <c r="C245" s="4">
        <v>0.99629320829104784</v>
      </c>
      <c r="D245" s="2"/>
      <c r="E245" s="6"/>
      <c r="F245" s="4"/>
    </row>
    <row r="246" spans="1:6" ht="22.9" customHeight="1">
      <c r="A246" s="2">
        <v>242</v>
      </c>
      <c r="B246" s="5">
        <v>2.052E+23</v>
      </c>
      <c r="C246" s="4">
        <v>0.99638961637944667</v>
      </c>
      <c r="D246" s="2"/>
      <c r="E246" s="6"/>
      <c r="F246" s="4"/>
    </row>
    <row r="247" spans="1:6" ht="22.9" customHeight="1">
      <c r="A247" s="2">
        <v>243</v>
      </c>
      <c r="B247" s="5">
        <v>2.04374016E+23</v>
      </c>
      <c r="C247" s="4">
        <v>0.99648563639991916</v>
      </c>
      <c r="D247" s="2"/>
      <c r="E247" s="6"/>
      <c r="F247" s="4"/>
    </row>
    <row r="248" spans="1:6" ht="22.9" customHeight="1">
      <c r="A248" s="2">
        <v>244</v>
      </c>
      <c r="B248" s="5">
        <v>2.0299999999999999E+23</v>
      </c>
      <c r="C248" s="4">
        <v>0.99658101087333528</v>
      </c>
      <c r="D248" s="2"/>
      <c r="E248" s="6"/>
      <c r="F248" s="4"/>
    </row>
    <row r="249" spans="1:6" ht="22.9" customHeight="1">
      <c r="A249" s="2">
        <v>245</v>
      </c>
      <c r="B249" s="5">
        <v>2.0000000001000001E+23</v>
      </c>
      <c r="C249" s="4">
        <v>0.99667497587177944</v>
      </c>
      <c r="D249" s="2"/>
      <c r="E249" s="6"/>
      <c r="F249" s="4"/>
    </row>
    <row r="250" spans="1:6" ht="22.9" customHeight="1">
      <c r="A250" s="2">
        <v>246</v>
      </c>
      <c r="B250" s="5">
        <v>1.9324800000000001E+23</v>
      </c>
      <c r="C250" s="4">
        <v>0.99676576861187161</v>
      </c>
      <c r="D250" s="2"/>
      <c r="E250" s="6"/>
      <c r="F250" s="4"/>
    </row>
    <row r="251" spans="1:6" ht="22.9" customHeight="1">
      <c r="A251" s="2">
        <v>247</v>
      </c>
      <c r="B251" s="5">
        <v>1.9072800000000001E+23</v>
      </c>
      <c r="C251" s="4">
        <v>0.99685537739298347</v>
      </c>
      <c r="D251" s="2"/>
      <c r="E251" s="6"/>
      <c r="F251" s="4"/>
    </row>
    <row r="252" spans="1:6" ht="22.9" customHeight="1">
      <c r="A252" s="2">
        <v>248</v>
      </c>
      <c r="B252" s="5">
        <v>1.8900000000001E+23</v>
      </c>
      <c r="C252" s="4">
        <v>0.99694417431650872</v>
      </c>
      <c r="D252" s="2"/>
      <c r="E252" s="6"/>
      <c r="F252" s="4"/>
    </row>
    <row r="253" spans="1:6" ht="22.9" customHeight="1">
      <c r="A253" s="2">
        <v>249</v>
      </c>
      <c r="B253" s="5">
        <v>1.89E+23</v>
      </c>
      <c r="C253" s="4">
        <v>0.99703297124003387</v>
      </c>
      <c r="D253" s="2"/>
      <c r="E253" s="6"/>
      <c r="F253" s="4"/>
    </row>
    <row r="254" spans="1:6" ht="22.9" customHeight="1">
      <c r="A254" s="2">
        <v>250</v>
      </c>
      <c r="B254" s="5">
        <v>1.89E+23</v>
      </c>
      <c r="C254" s="4">
        <v>0.99712176816355913</v>
      </c>
      <c r="D254" s="2"/>
      <c r="E254" s="6"/>
      <c r="F254" s="4"/>
    </row>
    <row r="255" spans="1:6" ht="22.9" customHeight="1">
      <c r="A255" s="2">
        <v>251</v>
      </c>
      <c r="B255" s="5">
        <v>1.8186000000000002E+23</v>
      </c>
      <c r="C255" s="4">
        <v>0.99720721053664019</v>
      </c>
      <c r="D255" s="2"/>
      <c r="E255" s="6"/>
      <c r="F255" s="4"/>
    </row>
    <row r="256" spans="1:6" ht="22.9" customHeight="1">
      <c r="A256" s="2">
        <v>252</v>
      </c>
      <c r="B256" s="5">
        <v>1.7999999999999999E+23</v>
      </c>
      <c r="C256" s="4">
        <v>0.9972917790352358</v>
      </c>
      <c r="D256" s="2"/>
      <c r="E256" s="6"/>
      <c r="F256" s="4"/>
    </row>
    <row r="257" spans="1:6" ht="22.9" customHeight="1">
      <c r="A257" s="2">
        <v>253</v>
      </c>
      <c r="B257" s="5">
        <v>1.7999999999999999E+23</v>
      </c>
      <c r="C257" s="4">
        <v>0.99737634753383131</v>
      </c>
      <c r="D257" s="2"/>
      <c r="E257" s="6"/>
      <c r="F257" s="4"/>
    </row>
    <row r="258" spans="1:6" ht="22.9" customHeight="1">
      <c r="A258" s="2">
        <v>254</v>
      </c>
      <c r="B258" s="5">
        <v>1.7999999999999999E+23</v>
      </c>
      <c r="C258" s="4">
        <v>0.99746091603242693</v>
      </c>
      <c r="D258" s="2"/>
      <c r="E258" s="6"/>
      <c r="F258" s="4"/>
    </row>
    <row r="259" spans="1:6" ht="22.9" customHeight="1">
      <c r="A259" s="2">
        <v>255</v>
      </c>
      <c r="B259" s="5">
        <v>1.7999999999999999E+23</v>
      </c>
      <c r="C259" s="4">
        <v>0.99754548453102243</v>
      </c>
      <c r="D259" s="2"/>
      <c r="E259" s="6"/>
      <c r="F259" s="4"/>
    </row>
    <row r="260" spans="1:6" ht="22.9" customHeight="1">
      <c r="A260" s="2">
        <v>256</v>
      </c>
      <c r="B260" s="5">
        <v>1.7999999999999999E+23</v>
      </c>
      <c r="C260" s="4">
        <v>0.99763005302961805</v>
      </c>
      <c r="D260" s="2"/>
      <c r="E260" s="6"/>
      <c r="F260" s="4"/>
    </row>
    <row r="261" spans="1:6" ht="22.9" customHeight="1">
      <c r="A261" s="2">
        <v>257</v>
      </c>
      <c r="B261" s="5">
        <v>1.7800000000000001E+23</v>
      </c>
      <c r="C261" s="4">
        <v>0.99771368187822906</v>
      </c>
      <c r="D261" s="2"/>
      <c r="E261" s="6"/>
      <c r="F261" s="4"/>
    </row>
    <row r="262" spans="1:6" ht="22.9" customHeight="1">
      <c r="A262" s="2">
        <v>258</v>
      </c>
      <c r="B262" s="5">
        <v>1.7333999999999998E+23</v>
      </c>
      <c r="C262" s="4">
        <v>0.99779512134237658</v>
      </c>
      <c r="D262" s="2"/>
      <c r="E262" s="6"/>
      <c r="F262" s="4"/>
    </row>
    <row r="263" spans="1:6" ht="22.9" customHeight="1">
      <c r="A263" s="2">
        <v>259</v>
      </c>
      <c r="B263" s="5">
        <v>1.7220000000000001E+23</v>
      </c>
      <c r="C263" s="4">
        <v>0.99787602520603291</v>
      </c>
      <c r="D263" s="2"/>
      <c r="E263" s="6"/>
      <c r="F263" s="4"/>
    </row>
    <row r="264" spans="1:6" ht="22.9" customHeight="1">
      <c r="A264" s="2">
        <v>260</v>
      </c>
      <c r="B264" s="5">
        <v>1.6900000000000001E+23</v>
      </c>
      <c r="C264" s="4">
        <v>0.99795542562971418</v>
      </c>
      <c r="D264" s="2"/>
      <c r="E264" s="6"/>
      <c r="F264" s="4"/>
    </row>
    <row r="265" spans="1:6" ht="22.9" customHeight="1">
      <c r="A265" s="2">
        <v>261</v>
      </c>
      <c r="B265" s="5">
        <v>1.6799999999999998E+23</v>
      </c>
      <c r="C265" s="4">
        <v>0.9980343562284032</v>
      </c>
      <c r="D265" s="2"/>
      <c r="E265" s="6"/>
      <c r="F265" s="4"/>
    </row>
    <row r="266" spans="1:6" ht="22.9" customHeight="1">
      <c r="A266" s="2">
        <v>262</v>
      </c>
      <c r="B266" s="5">
        <v>1.6799999999999998E+23</v>
      </c>
      <c r="C266" s="4">
        <v>0.99811328682709233</v>
      </c>
      <c r="D266" s="2"/>
      <c r="E266" s="6"/>
      <c r="F266" s="4"/>
    </row>
    <row r="267" spans="1:6" ht="22.9" customHeight="1">
      <c r="A267" s="2">
        <v>263</v>
      </c>
      <c r="B267" s="5">
        <v>1.668E+23</v>
      </c>
      <c r="C267" s="4">
        <v>0.99819165363579088</v>
      </c>
      <c r="D267" s="2"/>
      <c r="E267" s="6"/>
      <c r="F267" s="4"/>
    </row>
    <row r="268" spans="1:6" ht="22.9" customHeight="1">
      <c r="A268" s="2">
        <v>264</v>
      </c>
      <c r="B268" s="5">
        <v>1.6631999999999999E+23</v>
      </c>
      <c r="C268" s="4">
        <v>0.99826979492849299</v>
      </c>
      <c r="D268" s="2"/>
      <c r="E268" s="6"/>
      <c r="F268" s="4"/>
    </row>
    <row r="269" spans="1:6" ht="22.9" customHeight="1">
      <c r="A269" s="2">
        <v>265</v>
      </c>
      <c r="B269" s="5">
        <v>1.6E+23</v>
      </c>
      <c r="C269" s="4">
        <v>0.99834496692724461</v>
      </c>
      <c r="D269" s="2"/>
      <c r="E269" s="6"/>
      <c r="F269" s="4"/>
    </row>
    <row r="270" spans="1:6" ht="22.9" customHeight="1">
      <c r="A270" s="2">
        <v>266</v>
      </c>
      <c r="B270" s="5">
        <v>1.5499999999999999E+23</v>
      </c>
      <c r="C270" s="4">
        <v>0.99841778980103524</v>
      </c>
      <c r="D270" s="2"/>
      <c r="E270" s="6"/>
      <c r="F270" s="4"/>
    </row>
    <row r="271" spans="1:6" ht="22.9" customHeight="1">
      <c r="A271" s="2">
        <v>267</v>
      </c>
      <c r="B271" s="5">
        <v>1.5364368000000002E+23</v>
      </c>
      <c r="C271" s="4">
        <v>0.99848997544179241</v>
      </c>
      <c r="D271" s="2"/>
      <c r="E271" s="6"/>
      <c r="F271" s="4"/>
    </row>
    <row r="272" spans="1:6" ht="22.9" customHeight="1">
      <c r="A272" s="2">
        <v>268</v>
      </c>
      <c r="B272" s="5">
        <v>1.485E+23</v>
      </c>
      <c r="C272" s="4">
        <v>0.99855974445313367</v>
      </c>
      <c r="D272" s="2"/>
      <c r="E272" s="6"/>
      <c r="F272" s="4"/>
    </row>
    <row r="273" spans="1:6" ht="22.9" customHeight="1">
      <c r="A273" s="2">
        <v>269</v>
      </c>
      <c r="B273" s="5">
        <v>1.4814815000000001E+23</v>
      </c>
      <c r="C273" s="4">
        <v>0.99862934815655147</v>
      </c>
      <c r="D273" s="2"/>
      <c r="E273" s="6"/>
      <c r="F273" s="4"/>
    </row>
    <row r="274" spans="1:6" ht="22.9" customHeight="1">
      <c r="A274" s="2">
        <v>270</v>
      </c>
      <c r="B274" s="5">
        <v>1.476E+23</v>
      </c>
      <c r="C274" s="4">
        <v>0.99869869432539982</v>
      </c>
      <c r="D274" s="2"/>
      <c r="E274" s="6"/>
      <c r="F274" s="4"/>
    </row>
    <row r="275" spans="1:6" ht="22.9" customHeight="1">
      <c r="A275" s="2">
        <v>271</v>
      </c>
      <c r="B275" s="5">
        <v>1.428E+23</v>
      </c>
      <c r="C275" s="4">
        <v>0.99876578533428562</v>
      </c>
      <c r="D275" s="2"/>
      <c r="E275" s="6"/>
      <c r="F275" s="4"/>
    </row>
    <row r="276" spans="1:6" ht="22.9" customHeight="1">
      <c r="A276" s="2">
        <v>272</v>
      </c>
      <c r="B276" s="5">
        <v>1.428E+23</v>
      </c>
      <c r="C276" s="4">
        <v>0.99883287634317142</v>
      </c>
      <c r="D276" s="2"/>
      <c r="E276" s="6"/>
      <c r="F276" s="4"/>
    </row>
    <row r="277" spans="1:6" ht="22.9" customHeight="1">
      <c r="A277" s="2">
        <v>273</v>
      </c>
      <c r="B277" s="5">
        <v>1.4000000000000001E+23</v>
      </c>
      <c r="C277" s="4">
        <v>0.99889865184207904</v>
      </c>
      <c r="D277" s="2"/>
      <c r="E277" s="6"/>
      <c r="F277" s="4"/>
    </row>
    <row r="278" spans="1:6" ht="22.9" customHeight="1">
      <c r="A278" s="2">
        <v>274</v>
      </c>
      <c r="B278" s="5">
        <v>1.3499999999999999E+23</v>
      </c>
      <c r="C278" s="4">
        <v>0.99896207821602567</v>
      </c>
      <c r="D278" s="2"/>
      <c r="E278" s="6"/>
      <c r="F278" s="4"/>
    </row>
    <row r="279" spans="1:6" ht="22.9" customHeight="1">
      <c r="A279" s="2">
        <v>275</v>
      </c>
      <c r="B279" s="5">
        <v>1.296E+23</v>
      </c>
      <c r="C279" s="4">
        <v>0.99902296753501441</v>
      </c>
      <c r="D279" s="2"/>
      <c r="E279" s="6"/>
      <c r="F279" s="4"/>
    </row>
    <row r="280" spans="1:6" ht="22.9" customHeight="1">
      <c r="A280" s="2">
        <v>276</v>
      </c>
      <c r="B280" s="5">
        <v>1.26E+23</v>
      </c>
      <c r="C280" s="4">
        <v>0.99908216548403128</v>
      </c>
      <c r="D280" s="2"/>
      <c r="E280" s="6"/>
      <c r="F280" s="4"/>
    </row>
    <row r="281" spans="1:6" ht="22.9" customHeight="1">
      <c r="A281" s="2">
        <v>277</v>
      </c>
      <c r="B281" s="5">
        <v>1.248E+23</v>
      </c>
      <c r="C281" s="4">
        <v>0.99914079964305758</v>
      </c>
      <c r="D281" s="2"/>
      <c r="E281" s="6"/>
      <c r="F281" s="4"/>
    </row>
    <row r="282" spans="1:6" ht="22.9" customHeight="1">
      <c r="A282" s="2">
        <v>278</v>
      </c>
      <c r="B282" s="5">
        <v>1.2E+23</v>
      </c>
      <c r="C282" s="4">
        <v>0.99919717864212121</v>
      </c>
      <c r="D282" s="2"/>
      <c r="E282" s="6"/>
      <c r="F282" s="4"/>
    </row>
    <row r="283" spans="1:6" ht="22.9" customHeight="1">
      <c r="A283" s="2">
        <v>279</v>
      </c>
      <c r="B283" s="5">
        <v>1.17E+23</v>
      </c>
      <c r="C283" s="4">
        <v>0.99925214816620833</v>
      </c>
      <c r="D283" s="2"/>
      <c r="E283" s="6"/>
      <c r="F283" s="4"/>
    </row>
    <row r="284" spans="1:6" ht="22.9" customHeight="1">
      <c r="A284" s="2">
        <v>280</v>
      </c>
      <c r="B284" s="5">
        <v>1.12E+23</v>
      </c>
      <c r="C284" s="4">
        <v>0.99930476856533434</v>
      </c>
      <c r="D284" s="2"/>
      <c r="E284" s="6"/>
      <c r="F284" s="4"/>
    </row>
    <row r="285" spans="1:6" ht="22.9" customHeight="1">
      <c r="A285" s="2">
        <v>281</v>
      </c>
      <c r="B285" s="5">
        <v>1.100000000001E+23</v>
      </c>
      <c r="C285" s="4">
        <v>0.99935644931447609</v>
      </c>
      <c r="D285" s="2"/>
      <c r="E285" s="6"/>
      <c r="F285" s="4"/>
    </row>
    <row r="286" spans="1:6" ht="22.9" customHeight="1">
      <c r="A286" s="2">
        <v>282</v>
      </c>
      <c r="B286" s="5">
        <v>1.1E+23</v>
      </c>
      <c r="C286" s="4">
        <v>0.99940813006361773</v>
      </c>
      <c r="D286" s="2"/>
      <c r="E286" s="6"/>
      <c r="F286" s="4"/>
    </row>
    <row r="287" spans="1:6" ht="22.9" customHeight="1">
      <c r="A287" s="2">
        <v>283</v>
      </c>
      <c r="B287" s="5">
        <v>1.1E+23</v>
      </c>
      <c r="C287" s="4">
        <v>0.99945981081275947</v>
      </c>
      <c r="D287" s="2"/>
      <c r="E287" s="6"/>
      <c r="F287" s="4"/>
    </row>
    <row r="288" spans="1:6" ht="22.9" customHeight="1">
      <c r="A288" s="2">
        <v>284</v>
      </c>
      <c r="B288" s="5">
        <v>1.0920000000001E+23</v>
      </c>
      <c r="C288" s="4">
        <v>0.99951111570190732</v>
      </c>
      <c r="D288" s="2"/>
      <c r="E288" s="6"/>
      <c r="F288" s="4"/>
    </row>
    <row r="289" spans="1:6" ht="22.9" customHeight="1">
      <c r="A289" s="2">
        <v>285</v>
      </c>
      <c r="B289" s="5">
        <v>1.092E+23</v>
      </c>
      <c r="C289" s="4">
        <v>0.99956242059105527</v>
      </c>
      <c r="D289" s="2"/>
      <c r="E289" s="6"/>
      <c r="F289" s="4"/>
    </row>
    <row r="290" spans="1:6" ht="22.9" customHeight="1">
      <c r="A290" s="2">
        <v>286</v>
      </c>
      <c r="B290" s="5">
        <v>1.0773400001E+23</v>
      </c>
      <c r="C290" s="4">
        <v>0.99961303671676938</v>
      </c>
      <c r="D290" s="2"/>
      <c r="E290" s="6"/>
      <c r="F290" s="4"/>
    </row>
    <row r="291" spans="1:6" ht="22.9" customHeight="1">
      <c r="A291" s="2">
        <v>287</v>
      </c>
      <c r="B291" s="5">
        <v>1.0699776E+23</v>
      </c>
      <c r="C291" s="4">
        <v>0.99966330693852645</v>
      </c>
      <c r="D291" s="2"/>
      <c r="E291" s="6"/>
      <c r="F291" s="4"/>
    </row>
    <row r="292" spans="1:6" ht="22.9" customHeight="1">
      <c r="A292" s="2">
        <v>288</v>
      </c>
      <c r="B292" s="5">
        <v>1.0500000000000001E+23</v>
      </c>
      <c r="C292" s="4">
        <v>0.9997126385627072</v>
      </c>
      <c r="D292" s="2"/>
      <c r="E292" s="6"/>
      <c r="F292" s="4"/>
    </row>
    <row r="293" spans="1:6" ht="22.9" customHeight="1">
      <c r="A293" s="2">
        <v>289</v>
      </c>
      <c r="B293" s="5">
        <v>1.0372049000000001E+23</v>
      </c>
      <c r="C293" s="4">
        <v>0.99976136904111212</v>
      </c>
      <c r="D293" s="2"/>
      <c r="E293" s="6"/>
      <c r="F293" s="4"/>
    </row>
    <row r="294" spans="1:6" ht="22.9" customHeight="1">
      <c r="A294" s="2">
        <v>290</v>
      </c>
      <c r="B294" s="5">
        <v>1.0331999999999999E+23</v>
      </c>
      <c r="C294" s="4">
        <v>0.99980991135930597</v>
      </c>
      <c r="D294" s="2"/>
      <c r="E294" s="6"/>
      <c r="F294" s="4"/>
    </row>
    <row r="295" spans="1:6" ht="22.9" customHeight="1">
      <c r="A295" s="2">
        <v>291</v>
      </c>
      <c r="B295" s="5">
        <v>1.026E+23</v>
      </c>
      <c r="C295" s="4">
        <v>0.99985811540350544</v>
      </c>
      <c r="D295" s="2"/>
      <c r="E295" s="6"/>
      <c r="F295" s="4"/>
    </row>
    <row r="296" spans="1:6" ht="22.9" customHeight="1">
      <c r="A296" s="2">
        <v>292</v>
      </c>
      <c r="B296" s="5">
        <v>1.01E+23</v>
      </c>
      <c r="C296" s="4">
        <v>0.99990556772771733</v>
      </c>
      <c r="D296" s="2"/>
      <c r="E296" s="6"/>
      <c r="F296" s="4"/>
    </row>
    <row r="297" spans="1:6" ht="22.9" customHeight="1">
      <c r="A297" s="2">
        <v>293</v>
      </c>
      <c r="B297" s="5">
        <v>1.008E+23</v>
      </c>
      <c r="C297" s="4">
        <v>0.99995292608693087</v>
      </c>
      <c r="D297" s="2"/>
      <c r="E297" s="6"/>
      <c r="F297" s="4"/>
    </row>
    <row r="298" spans="1:6" ht="22.9" customHeight="1">
      <c r="A298" s="2">
        <v>294</v>
      </c>
      <c r="B298" s="5">
        <v>1.0019457E+23</v>
      </c>
      <c r="C298" s="4">
        <v>0.99999999999999933</v>
      </c>
      <c r="D298" s="2"/>
      <c r="E298" s="6"/>
      <c r="F298" s="4"/>
    </row>
    <row r="299" spans="1:6" ht="4.5" customHeight="1"/>
    <row r="300" spans="1:6" ht="4.5" customHeight="1"/>
    <row r="301" spans="1:6" ht="4.5" customHeight="1"/>
    <row r="302" spans="1:6" ht="4.5" customHeight="1"/>
    <row r="303" spans="1:6" ht="4.5" customHeight="1"/>
    <row r="304" spans="1:6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F1"/>
    <mergeCell ref="A2:F2"/>
  </mergeCells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00"/>
  <sheetViews>
    <sheetView workbookViewId="0">
      <selection activeCell="A2" sqref="A2:H2"/>
    </sheetView>
  </sheetViews>
  <sheetFormatPr defaultRowHeight="13.5"/>
  <cols>
    <col min="1" max="1" width="9" customWidth="1"/>
    <col min="2" max="2" width="44" customWidth="1"/>
    <col min="3" max="3" width="15" customWidth="1"/>
    <col min="4" max="4" width="18" customWidth="1"/>
    <col min="5" max="5" width="22" customWidth="1"/>
    <col min="6" max="6" width="36" customWidth="1"/>
    <col min="7" max="7" width="15" customWidth="1"/>
    <col min="8" max="8" width="20" customWidth="1"/>
  </cols>
  <sheetData>
    <row r="1" spans="1:8" ht="23.35" customHeight="1">
      <c r="A1" s="14" t="s">
        <v>448</v>
      </c>
      <c r="B1" s="14"/>
      <c r="C1" s="14"/>
      <c r="D1" s="14"/>
      <c r="E1" s="14"/>
      <c r="F1" s="14"/>
      <c r="G1" s="14"/>
      <c r="H1" s="14"/>
    </row>
    <row r="2" spans="1:8" ht="23.35" customHeight="1">
      <c r="A2" s="15" t="s">
        <v>449</v>
      </c>
      <c r="B2" s="15"/>
      <c r="C2" s="15"/>
      <c r="D2" s="15"/>
      <c r="E2" s="15"/>
      <c r="F2" s="15"/>
      <c r="G2" s="15"/>
      <c r="H2" s="15"/>
    </row>
    <row r="3" spans="1:8" ht="23.35" customHeight="1"/>
    <row r="4" spans="1:8" ht="23.35" customHeight="1">
      <c r="A4" s="3" t="s">
        <v>443</v>
      </c>
      <c r="B4" s="3" t="s">
        <v>55</v>
      </c>
      <c r="C4" s="3" t="s">
        <v>450</v>
      </c>
      <c r="D4" s="3" t="s">
        <v>451</v>
      </c>
      <c r="E4" s="3" t="s">
        <v>57</v>
      </c>
      <c r="F4" s="3" t="s">
        <v>452</v>
      </c>
      <c r="G4" s="3" t="s">
        <v>453</v>
      </c>
      <c r="H4" s="3" t="s">
        <v>444</v>
      </c>
    </row>
    <row r="5" spans="1:8" ht="23.35" customHeight="1">
      <c r="A5" s="2">
        <v>1</v>
      </c>
      <c r="B5" s="2" t="s">
        <v>345</v>
      </c>
      <c r="C5" s="9">
        <v>45847</v>
      </c>
      <c r="D5" s="5">
        <v>3000000000000</v>
      </c>
      <c r="E5" s="5">
        <v>5.0000000000000997E+26</v>
      </c>
      <c r="F5" s="2" t="s">
        <v>454</v>
      </c>
      <c r="G5" s="4">
        <v>0.23491249609863285</v>
      </c>
      <c r="H5" s="4">
        <v>0.23491249609863285</v>
      </c>
    </row>
    <row r="6" spans="1:8" ht="23.35" customHeight="1">
      <c r="A6" s="2">
        <v>2</v>
      </c>
      <c r="B6" s="2" t="s">
        <v>333</v>
      </c>
      <c r="C6" s="9">
        <v>45715</v>
      </c>
      <c r="D6" s="5"/>
      <c r="E6" s="5">
        <v>3.8000000000000002E+26</v>
      </c>
      <c r="F6" s="2" t="s">
        <v>454</v>
      </c>
      <c r="G6" s="4">
        <v>0.17853349703495741</v>
      </c>
      <c r="H6" s="4">
        <v>0.41344599313359032</v>
      </c>
    </row>
    <row r="7" spans="1:8" ht="23.35" customHeight="1">
      <c r="A7" s="2">
        <v>3</v>
      </c>
      <c r="B7" s="2" t="s">
        <v>329</v>
      </c>
      <c r="C7" s="9">
        <v>45705</v>
      </c>
      <c r="D7" s="5">
        <v>3000000000000</v>
      </c>
      <c r="E7" s="5">
        <v>3.4999999999999999E+26</v>
      </c>
      <c r="F7" s="2" t="s">
        <v>454</v>
      </c>
      <c r="G7" s="4">
        <v>0.1644387472690397</v>
      </c>
      <c r="H7" s="4">
        <v>0.57788474040263005</v>
      </c>
    </row>
    <row r="8" spans="1:8" ht="23.35" customHeight="1">
      <c r="A8" s="2">
        <v>4</v>
      </c>
      <c r="B8" s="2" t="s">
        <v>348</v>
      </c>
      <c r="C8" s="9">
        <v>45876</v>
      </c>
      <c r="D8" s="5"/>
      <c r="E8" s="5">
        <v>6.6000000000000002E+25</v>
      </c>
      <c r="F8" s="2" t="s">
        <v>454</v>
      </c>
      <c r="G8" s="4">
        <v>3.1008449485018918E-2</v>
      </c>
      <c r="H8" s="4">
        <v>0.60889318988764896</v>
      </c>
    </row>
    <row r="9" spans="1:8" ht="23.35" customHeight="1">
      <c r="A9" s="2">
        <v>5</v>
      </c>
      <c r="B9" s="2" t="s">
        <v>339</v>
      </c>
      <c r="C9" s="9">
        <v>45752</v>
      </c>
      <c r="D9" s="5">
        <v>2000000000000</v>
      </c>
      <c r="E9" s="5">
        <v>5.1840000000000096E+25</v>
      </c>
      <c r="F9" s="2" t="s">
        <v>454</v>
      </c>
      <c r="G9" s="4">
        <v>2.4355727595505812E-2</v>
      </c>
      <c r="H9" s="4">
        <v>0.63324891748315482</v>
      </c>
    </row>
    <row r="10" spans="1:8" ht="23.35" customHeight="1">
      <c r="A10" s="2">
        <v>6</v>
      </c>
      <c r="B10" s="2" t="s">
        <v>272</v>
      </c>
      <c r="C10" s="9">
        <v>45266</v>
      </c>
      <c r="D10" s="5"/>
      <c r="E10" s="5">
        <v>5.0000000001E+25</v>
      </c>
      <c r="F10" s="2" t="s">
        <v>454</v>
      </c>
      <c r="G10" s="4">
        <v>2.3491249610332641E-2</v>
      </c>
      <c r="H10" s="4">
        <v>0.65674016709348748</v>
      </c>
    </row>
    <row r="11" spans="1:8" ht="23.35" customHeight="1">
      <c r="A11" s="2">
        <v>7</v>
      </c>
      <c r="B11" s="2" t="s">
        <v>335</v>
      </c>
      <c r="C11" s="9">
        <v>45734</v>
      </c>
      <c r="D11" s="5">
        <v>253000000000</v>
      </c>
      <c r="E11" s="5">
        <v>3.9110010000000001E+25</v>
      </c>
      <c r="F11" s="2" t="s">
        <v>454</v>
      </c>
      <c r="G11" s="4">
        <v>1.8374860143084617E-2</v>
      </c>
      <c r="H11" s="4">
        <v>0.67511502723657213</v>
      </c>
    </row>
    <row r="12" spans="1:8" ht="23.35" customHeight="1">
      <c r="A12" s="2">
        <v>8</v>
      </c>
      <c r="B12" s="2" t="s">
        <v>308</v>
      </c>
      <c r="C12" s="9">
        <v>45496</v>
      </c>
      <c r="D12" s="5">
        <v>405000000000</v>
      </c>
      <c r="E12" s="5">
        <v>3.8E+25</v>
      </c>
      <c r="F12" s="2" t="s">
        <v>454</v>
      </c>
      <c r="G12" s="4">
        <v>1.7853349703495742E-2</v>
      </c>
      <c r="H12" s="4">
        <v>0.69296837694006785</v>
      </c>
    </row>
    <row r="13" spans="1:8" ht="23.35" customHeight="1">
      <c r="A13" s="2">
        <v>9</v>
      </c>
      <c r="B13" s="2" t="s">
        <v>332</v>
      </c>
      <c r="C13" s="9">
        <v>45712</v>
      </c>
      <c r="D13" s="5"/>
      <c r="E13" s="5">
        <v>3.3500000000000002E+25</v>
      </c>
      <c r="F13" s="2" t="s">
        <v>454</v>
      </c>
      <c r="G13" s="4">
        <v>1.5739137238608088E-2</v>
      </c>
      <c r="H13" s="4">
        <v>0.70870751417867595</v>
      </c>
    </row>
    <row r="14" spans="1:8" ht="23.35" customHeight="1">
      <c r="A14" s="2">
        <v>10</v>
      </c>
      <c r="B14" s="2" t="s">
        <v>311</v>
      </c>
      <c r="C14" s="9">
        <v>45517</v>
      </c>
      <c r="D14" s="5"/>
      <c r="E14" s="5">
        <v>2.96E+25</v>
      </c>
      <c r="F14" s="2" t="s">
        <v>454</v>
      </c>
      <c r="G14" s="4">
        <v>1.3906819769038787E-2</v>
      </c>
      <c r="H14" s="4">
        <v>0.72261433394771468</v>
      </c>
    </row>
    <row r="15" spans="1:8" ht="23.35" customHeight="1">
      <c r="A15" s="2">
        <v>11</v>
      </c>
      <c r="B15" s="2" t="s">
        <v>300</v>
      </c>
      <c r="C15" s="9">
        <v>45463</v>
      </c>
      <c r="D15" s="5"/>
      <c r="E15" s="5">
        <v>2.7E+25</v>
      </c>
      <c r="F15" s="2" t="s">
        <v>454</v>
      </c>
      <c r="G15" s="4">
        <v>1.268527478932592E-2</v>
      </c>
      <c r="H15" s="4">
        <v>0.73529960873704059</v>
      </c>
    </row>
    <row r="16" spans="1:8" ht="23.35" customHeight="1">
      <c r="A16" s="2">
        <v>12</v>
      </c>
      <c r="B16" s="2" t="s">
        <v>137</v>
      </c>
      <c r="C16" s="9">
        <v>45593</v>
      </c>
      <c r="D16" s="5">
        <v>500000000000</v>
      </c>
      <c r="E16" s="5">
        <v>2.5049999999999999E+25</v>
      </c>
      <c r="F16" s="2" t="s">
        <v>455</v>
      </c>
      <c r="G16" s="4">
        <v>1.176911605454127E-2</v>
      </c>
      <c r="H16" s="4">
        <v>0.74706872479158182</v>
      </c>
    </row>
    <row r="17" spans="1:8" ht="23.35" customHeight="1">
      <c r="A17" s="2">
        <v>13</v>
      </c>
      <c r="B17" s="2" t="s">
        <v>223</v>
      </c>
      <c r="C17" s="9">
        <v>45497</v>
      </c>
      <c r="D17" s="5">
        <v>123000000000</v>
      </c>
      <c r="E17" s="5">
        <v>2.13E+25</v>
      </c>
      <c r="F17" s="2" t="s">
        <v>456</v>
      </c>
      <c r="G17" s="4">
        <v>1.000727233380156E-2</v>
      </c>
      <c r="H17" s="4">
        <v>0.75707599712538332</v>
      </c>
    </row>
    <row r="18" spans="1:8" ht="23.35" customHeight="1">
      <c r="A18" s="2">
        <v>14</v>
      </c>
      <c r="B18" s="2" t="s">
        <v>255</v>
      </c>
      <c r="C18" s="9">
        <v>45000</v>
      </c>
      <c r="D18" s="5">
        <v>1800000000000</v>
      </c>
      <c r="E18" s="5">
        <v>2.0999999999999999E+25</v>
      </c>
      <c r="F18" s="2" t="s">
        <v>454</v>
      </c>
      <c r="G18" s="4">
        <v>9.866324836142382E-3</v>
      </c>
      <c r="H18" s="4">
        <v>0.76694232196152567</v>
      </c>
    </row>
    <row r="19" spans="1:8" ht="23.35" customHeight="1">
      <c r="A19" s="2">
        <v>15</v>
      </c>
      <c r="B19" s="2" t="s">
        <v>299</v>
      </c>
      <c r="C19" s="9">
        <v>45457</v>
      </c>
      <c r="D19" s="5">
        <v>340000000000</v>
      </c>
      <c r="E19" s="5">
        <v>1.8000000000000001E+25</v>
      </c>
      <c r="F19" s="2" t="s">
        <v>454</v>
      </c>
      <c r="G19" s="4">
        <v>8.4568498595506136E-3</v>
      </c>
      <c r="H19" s="4">
        <v>0.77539917182107632</v>
      </c>
    </row>
    <row r="20" spans="1:8" ht="23.35" customHeight="1">
      <c r="A20" s="2">
        <v>16</v>
      </c>
      <c r="B20" s="2" t="s">
        <v>196</v>
      </c>
      <c r="C20" s="9">
        <v>45905</v>
      </c>
      <c r="D20" s="5">
        <v>1000000000000</v>
      </c>
      <c r="E20" s="5">
        <v>1.5120000000000001E+25</v>
      </c>
      <c r="F20" s="2" t="s">
        <v>455</v>
      </c>
      <c r="G20" s="4">
        <v>7.1037538820225158E-3</v>
      </c>
      <c r="H20" s="4">
        <v>0.78250292570309887</v>
      </c>
    </row>
    <row r="21" spans="1:8" ht="23.35" customHeight="1">
      <c r="A21" s="2">
        <v>17</v>
      </c>
      <c r="B21" s="2" t="s">
        <v>219</v>
      </c>
      <c r="C21" s="9">
        <v>45348</v>
      </c>
      <c r="D21" s="5"/>
      <c r="E21" s="5">
        <v>1.1200000000000001E+25</v>
      </c>
      <c r="F21" s="2" t="s">
        <v>456</v>
      </c>
      <c r="G21" s="4">
        <v>5.2620399126092716E-3</v>
      </c>
      <c r="H21" s="4">
        <v>0.78776496561570819</v>
      </c>
    </row>
    <row r="22" spans="1:8" ht="23.35" customHeight="1">
      <c r="A22" s="2">
        <v>18</v>
      </c>
      <c r="B22" s="2" t="s">
        <v>157</v>
      </c>
      <c r="C22" s="9">
        <v>45757</v>
      </c>
      <c r="D22" s="5">
        <v>135000000000</v>
      </c>
      <c r="E22" s="5">
        <v>1.0692E+25</v>
      </c>
      <c r="F22" s="2" t="s">
        <v>455</v>
      </c>
      <c r="G22" s="4">
        <v>5.0233688165730647E-3</v>
      </c>
      <c r="H22" s="4">
        <v>0.79278833443228125</v>
      </c>
    </row>
    <row r="23" spans="1:8" ht="23.35" customHeight="1">
      <c r="A23" s="2">
        <v>19</v>
      </c>
      <c r="B23" s="2" t="s">
        <v>109</v>
      </c>
      <c r="C23" s="9">
        <v>45355</v>
      </c>
      <c r="D23" s="5">
        <v>250000000000</v>
      </c>
      <c r="E23" s="5">
        <v>1.05E+25</v>
      </c>
      <c r="F23" s="2" t="s">
        <v>457</v>
      </c>
      <c r="G23" s="4">
        <v>4.933162418071191E-3</v>
      </c>
      <c r="H23" s="4">
        <v>0.79772149685035243</v>
      </c>
    </row>
    <row r="24" spans="1:8" ht="23.35" customHeight="1">
      <c r="A24" s="2">
        <v>20</v>
      </c>
      <c r="B24" s="2" t="s">
        <v>270</v>
      </c>
      <c r="C24" s="9">
        <v>45252</v>
      </c>
      <c r="D24" s="5"/>
      <c r="E24" s="5">
        <v>1.001E+25</v>
      </c>
      <c r="F24" s="2" t="s">
        <v>454</v>
      </c>
      <c r="G24" s="4">
        <v>4.7029481718945361E-3</v>
      </c>
      <c r="H24" s="4">
        <v>0.80242444502224697</v>
      </c>
    </row>
    <row r="25" spans="1:8" ht="23.35" customHeight="1">
      <c r="A25" s="2">
        <v>21</v>
      </c>
      <c r="B25" s="2" t="s">
        <v>205</v>
      </c>
      <c r="C25" s="9">
        <v>45960</v>
      </c>
      <c r="D25" s="5">
        <v>34100000000</v>
      </c>
      <c r="E25" s="5">
        <v>9.8673599999999999E+24</v>
      </c>
      <c r="F25" s="2" t="s">
        <v>455</v>
      </c>
      <c r="G25" s="4">
        <v>4.6359323350075188E-3</v>
      </c>
      <c r="H25" s="4">
        <v>0.80706037735725444</v>
      </c>
    </row>
    <row r="26" spans="1:8" ht="23.35" customHeight="1">
      <c r="A26" s="2">
        <v>22</v>
      </c>
      <c r="B26" s="2" t="s">
        <v>150</v>
      </c>
      <c r="C26" s="9">
        <v>45707</v>
      </c>
      <c r="D26" s="5">
        <v>72000000000</v>
      </c>
      <c r="E26" s="5">
        <v>9.5712E+24</v>
      </c>
      <c r="F26" s="2" t="s">
        <v>455</v>
      </c>
      <c r="G26" s="4">
        <v>4.4967889653183797E-3</v>
      </c>
      <c r="H26" s="4">
        <v>0.8115571663225728</v>
      </c>
    </row>
    <row r="27" spans="1:8" ht="23.35" customHeight="1">
      <c r="A27" s="2">
        <v>23</v>
      </c>
      <c r="B27" s="2" t="s">
        <v>283</v>
      </c>
      <c r="C27" s="9">
        <v>45379</v>
      </c>
      <c r="D27" s="5"/>
      <c r="E27" s="5">
        <v>9.2599999999999999E+24</v>
      </c>
      <c r="F27" s="2" t="s">
        <v>454</v>
      </c>
      <c r="G27" s="4">
        <v>4.3505794277465936E-3</v>
      </c>
      <c r="H27" s="4">
        <v>0.81590774575031932</v>
      </c>
    </row>
    <row r="28" spans="1:8" ht="23.35" customHeight="1">
      <c r="A28" s="2">
        <v>24</v>
      </c>
      <c r="B28" s="2" t="s">
        <v>285</v>
      </c>
      <c r="C28" s="9">
        <v>45397</v>
      </c>
      <c r="D28" s="5">
        <v>67000000000</v>
      </c>
      <c r="E28" s="5">
        <v>8.4000100000000003E+24</v>
      </c>
      <c r="F28" s="2" t="s">
        <v>454</v>
      </c>
      <c r="G28" s="4">
        <v>3.9465346327068754E-3</v>
      </c>
      <c r="H28" s="4">
        <v>0.81985428038302621</v>
      </c>
    </row>
    <row r="29" spans="1:8" ht="23.35" customHeight="1">
      <c r="A29" s="2">
        <v>25</v>
      </c>
      <c r="B29" s="2" t="s">
        <v>280</v>
      </c>
      <c r="C29" s="9">
        <v>45358</v>
      </c>
      <c r="D29" s="5"/>
      <c r="E29" s="5">
        <v>8.0000010000000003E+24</v>
      </c>
      <c r="F29" s="2" t="s">
        <v>454</v>
      </c>
      <c r="G29" s="4">
        <v>3.7586004074030431E-3</v>
      </c>
      <c r="H29" s="4">
        <v>0.82361288079042927</v>
      </c>
    </row>
    <row r="30" spans="1:8" ht="23.35" customHeight="1">
      <c r="A30" s="2">
        <v>26</v>
      </c>
      <c r="B30" s="2" t="s">
        <v>307</v>
      </c>
      <c r="C30" s="9">
        <v>45496</v>
      </c>
      <c r="D30" s="5">
        <v>70000000000</v>
      </c>
      <c r="E30" s="5">
        <v>7.9289999999999998E+24</v>
      </c>
      <c r="F30" s="2" t="s">
        <v>454</v>
      </c>
      <c r="G30" s="4">
        <v>3.7252423631320454E-3</v>
      </c>
      <c r="H30" s="4">
        <v>0.82733812315356126</v>
      </c>
    </row>
    <row r="31" spans="1:8" ht="23.35" customHeight="1">
      <c r="A31" s="2">
        <v>27</v>
      </c>
      <c r="B31" s="2" t="s">
        <v>288</v>
      </c>
      <c r="C31" s="9">
        <v>45400</v>
      </c>
      <c r="D31" s="5">
        <v>70000000000</v>
      </c>
      <c r="E31" s="5">
        <v>7.8610000000000004E+24</v>
      </c>
      <c r="F31" s="2" t="s">
        <v>454</v>
      </c>
      <c r="G31" s="4">
        <v>3.6932942636626323E-3</v>
      </c>
      <c r="H31" s="4">
        <v>0.83103141741722397</v>
      </c>
    </row>
    <row r="32" spans="1:8" ht="23.35" customHeight="1">
      <c r="A32" s="2">
        <v>28</v>
      </c>
      <c r="B32" s="2" t="s">
        <v>131</v>
      </c>
      <c r="C32" s="9">
        <v>45554</v>
      </c>
      <c r="D32" s="5">
        <v>72700000000</v>
      </c>
      <c r="E32" s="5">
        <v>7.7999999999999995E+24</v>
      </c>
      <c r="F32" s="2" t="s">
        <v>455</v>
      </c>
      <c r="G32" s="4">
        <v>3.6646349391385993E-3</v>
      </c>
      <c r="H32" s="4">
        <v>0.83469605235636246</v>
      </c>
    </row>
    <row r="33" spans="1:8" ht="23.35" customHeight="1">
      <c r="A33" s="2">
        <v>29</v>
      </c>
      <c r="B33" s="2" t="s">
        <v>257</v>
      </c>
      <c r="C33" s="9">
        <v>45056</v>
      </c>
      <c r="D33" s="5">
        <v>340000000000</v>
      </c>
      <c r="E33" s="5">
        <v>7.3399999999999997E+24</v>
      </c>
      <c r="F33" s="2" t="s">
        <v>454</v>
      </c>
      <c r="G33" s="4">
        <v>3.4485154427278614E-3</v>
      </c>
      <c r="H33" s="4">
        <v>0.8381445677990903</v>
      </c>
    </row>
    <row r="34" spans="1:8" ht="23.35" customHeight="1">
      <c r="A34" s="2">
        <v>30</v>
      </c>
      <c r="B34" s="2" t="s">
        <v>164</v>
      </c>
      <c r="C34" s="9">
        <v>45776</v>
      </c>
      <c r="D34" s="5">
        <v>32800000000</v>
      </c>
      <c r="E34" s="5">
        <v>7.0847999999999998E+24</v>
      </c>
      <c r="F34" s="2" t="s">
        <v>455</v>
      </c>
      <c r="G34" s="4">
        <v>3.3286161047191213E-3</v>
      </c>
      <c r="H34" s="4">
        <v>0.84147318390380943</v>
      </c>
    </row>
    <row r="35" spans="1:8" ht="23.35" customHeight="1">
      <c r="A35" s="2">
        <v>31</v>
      </c>
      <c r="B35" s="2" t="s">
        <v>135</v>
      </c>
      <c r="C35" s="9">
        <v>45555</v>
      </c>
      <c r="D35" s="5">
        <v>115000000000</v>
      </c>
      <c r="E35" s="5">
        <v>6.9000000000000003E+24</v>
      </c>
      <c r="F35" s="2" t="s">
        <v>455</v>
      </c>
      <c r="G35" s="4">
        <v>3.2417924461610689E-3</v>
      </c>
      <c r="H35" s="4">
        <v>0.8447149763499705</v>
      </c>
    </row>
    <row r="36" spans="1:8" ht="23.35" customHeight="1">
      <c r="A36" s="2">
        <v>32</v>
      </c>
      <c r="B36" s="2" t="s">
        <v>320</v>
      </c>
      <c r="C36" s="9">
        <v>45632</v>
      </c>
      <c r="D36" s="5">
        <v>70000000000</v>
      </c>
      <c r="E36" s="5">
        <v>6.8649768000000001E+24</v>
      </c>
      <c r="F36" s="2" t="s">
        <v>454</v>
      </c>
      <c r="G36" s="4">
        <v>3.2253376714943458E-3</v>
      </c>
      <c r="H36" s="4">
        <v>0.84794031402146486</v>
      </c>
    </row>
    <row r="37" spans="1:8" ht="23.35" customHeight="1">
      <c r="A37" s="2">
        <v>33</v>
      </c>
      <c r="B37" s="2" t="s">
        <v>228</v>
      </c>
      <c r="C37" s="9">
        <v>45902</v>
      </c>
      <c r="D37" s="5">
        <v>70000000000</v>
      </c>
      <c r="E37" s="5">
        <v>6.7399999999999998E+24</v>
      </c>
      <c r="F37" s="2" t="s">
        <v>458</v>
      </c>
      <c r="G37" s="4">
        <v>3.1666204474095076E-3</v>
      </c>
      <c r="H37" s="4">
        <v>0.85110693446887431</v>
      </c>
    </row>
    <row r="38" spans="1:8" ht="23.35" customHeight="1">
      <c r="A38" s="2">
        <v>34</v>
      </c>
      <c r="B38" s="2" t="s">
        <v>341</v>
      </c>
      <c r="C38" s="9">
        <v>45761</v>
      </c>
      <c r="D38" s="5">
        <v>56000000000</v>
      </c>
      <c r="E38" s="5">
        <v>6.7200000000000004E+24</v>
      </c>
      <c r="F38" s="2" t="s">
        <v>454</v>
      </c>
      <c r="G38" s="4">
        <v>3.1572239475655627E-3</v>
      </c>
      <c r="H38" s="4">
        <v>0.85426415841643988</v>
      </c>
    </row>
    <row r="39" spans="1:8" ht="23.35" customHeight="1">
      <c r="A39" s="2">
        <v>35</v>
      </c>
      <c r="B39" s="2" t="s">
        <v>319</v>
      </c>
      <c r="C39" s="9">
        <v>45629</v>
      </c>
      <c r="D39" s="5"/>
      <c r="E39" s="5">
        <v>6.0000099999999997E+24</v>
      </c>
      <c r="F39" s="2" t="s">
        <v>454</v>
      </c>
      <c r="G39" s="4">
        <v>2.8189546514334599E-3</v>
      </c>
      <c r="H39" s="4">
        <v>0.85708311306787321</v>
      </c>
    </row>
    <row r="40" spans="1:8" ht="23.35" customHeight="1">
      <c r="A40" s="2">
        <v>36</v>
      </c>
      <c r="B40" s="2" t="s">
        <v>203</v>
      </c>
      <c r="C40" s="9">
        <v>45940</v>
      </c>
      <c r="D40" s="5">
        <v>1000000000000</v>
      </c>
      <c r="E40" s="5">
        <v>6.0000010000000003E+24</v>
      </c>
      <c r="F40" s="2" t="s">
        <v>455</v>
      </c>
      <c r="G40" s="4">
        <v>2.8189504230085303E-3</v>
      </c>
      <c r="H40" s="4">
        <v>0.85990206349088172</v>
      </c>
    </row>
    <row r="41" spans="1:8" ht="23.35" customHeight="1">
      <c r="A41" s="2">
        <v>37</v>
      </c>
      <c r="B41" s="2" t="s">
        <v>155</v>
      </c>
      <c r="C41" s="9">
        <v>45727</v>
      </c>
      <c r="D41" s="5">
        <v>560000000000</v>
      </c>
      <c r="E41" s="5">
        <v>5.4E+24</v>
      </c>
      <c r="F41" s="2" t="s">
        <v>455</v>
      </c>
      <c r="G41" s="4">
        <v>2.5370549578651843E-3</v>
      </c>
      <c r="H41" s="4">
        <v>0.86243911844874688</v>
      </c>
    </row>
    <row r="42" spans="1:8" ht="23.35" customHeight="1">
      <c r="A42" s="2">
        <v>38</v>
      </c>
      <c r="B42" s="2" t="s">
        <v>347</v>
      </c>
      <c r="C42" s="9">
        <v>45874</v>
      </c>
      <c r="D42" s="5">
        <v>116830000000</v>
      </c>
      <c r="E42" s="5">
        <v>4.9400000000000001E+24</v>
      </c>
      <c r="F42" s="2" t="s">
        <v>454</v>
      </c>
      <c r="G42" s="4">
        <v>2.3209354614544464E-3</v>
      </c>
      <c r="H42" s="4">
        <v>0.86476005391020139</v>
      </c>
    </row>
    <row r="43" spans="1:8" ht="23.35" customHeight="1">
      <c r="A43" s="2">
        <v>39</v>
      </c>
      <c r="B43" s="2" t="s">
        <v>265</v>
      </c>
      <c r="C43" s="9">
        <v>45197</v>
      </c>
      <c r="D43" s="5">
        <v>200000000000</v>
      </c>
      <c r="E43" s="5">
        <v>4.8000000000000001E+24</v>
      </c>
      <c r="F43" s="2" t="s">
        <v>454</v>
      </c>
      <c r="G43" s="4">
        <v>2.2551599625468305E-3</v>
      </c>
      <c r="H43" s="4">
        <v>0.86701521387274816</v>
      </c>
    </row>
    <row r="44" spans="1:8" ht="23.35" customHeight="1">
      <c r="A44" s="2">
        <v>40</v>
      </c>
      <c r="B44" s="2" t="s">
        <v>185</v>
      </c>
      <c r="C44" s="9">
        <v>45863</v>
      </c>
      <c r="D44" s="5">
        <v>235000000000</v>
      </c>
      <c r="E44" s="5">
        <v>4.7520000000000001E+24</v>
      </c>
      <c r="F44" s="2" t="s">
        <v>455</v>
      </c>
      <c r="G44" s="4">
        <v>2.2326083629213623E-3</v>
      </c>
      <c r="H44" s="4">
        <v>0.86924782223566954</v>
      </c>
    </row>
    <row r="45" spans="1:8" ht="23.35" customHeight="1">
      <c r="A45" s="2">
        <v>41</v>
      </c>
      <c r="B45" s="2" t="s">
        <v>186</v>
      </c>
      <c r="C45" s="9">
        <v>45863</v>
      </c>
      <c r="D45" s="5">
        <v>235000000000</v>
      </c>
      <c r="E45" s="5">
        <v>4.7520000000000001E+24</v>
      </c>
      <c r="F45" s="2" t="s">
        <v>455</v>
      </c>
      <c r="G45" s="4">
        <v>2.2326083629213623E-3</v>
      </c>
      <c r="H45" s="4">
        <v>0.87148043059859093</v>
      </c>
    </row>
    <row r="46" spans="1:8" ht="23.35" customHeight="1">
      <c r="A46" s="2">
        <v>42</v>
      </c>
      <c r="B46" s="2" t="s">
        <v>166</v>
      </c>
      <c r="C46" s="9">
        <v>45776</v>
      </c>
      <c r="D46" s="5">
        <v>235000000000</v>
      </c>
      <c r="E46" s="5">
        <v>4.7520000000000001E+24</v>
      </c>
      <c r="F46" s="2" t="s">
        <v>455</v>
      </c>
      <c r="G46" s="4">
        <v>2.2326083629213623E-3</v>
      </c>
      <c r="H46" s="4">
        <v>0.87371303896151231</v>
      </c>
    </row>
    <row r="47" spans="1:8" ht="23.35" customHeight="1">
      <c r="A47" s="2">
        <v>43</v>
      </c>
      <c r="B47" s="2" t="s">
        <v>202</v>
      </c>
      <c r="C47" s="9">
        <v>45930</v>
      </c>
      <c r="D47" s="5">
        <v>357000000000</v>
      </c>
      <c r="E47" s="5">
        <v>4.42E+24</v>
      </c>
      <c r="F47" s="2" t="s">
        <v>455</v>
      </c>
      <c r="G47" s="4">
        <v>2.0766264655118728E-3</v>
      </c>
      <c r="H47" s="4">
        <v>0.87578966542702408</v>
      </c>
    </row>
    <row r="48" spans="1:8" ht="23.35" customHeight="1">
      <c r="A48" s="2">
        <v>44</v>
      </c>
      <c r="B48" s="2" t="s">
        <v>190</v>
      </c>
      <c r="C48" s="9">
        <v>45874</v>
      </c>
      <c r="D48" s="5">
        <v>355000000000</v>
      </c>
      <c r="E48" s="5">
        <v>4.42E+24</v>
      </c>
      <c r="F48" s="2" t="s">
        <v>455</v>
      </c>
      <c r="G48" s="4">
        <v>2.0766264655118728E-3</v>
      </c>
      <c r="H48" s="4">
        <v>0.87786629189253595</v>
      </c>
    </row>
    <row r="49" spans="1:8" ht="23.35" customHeight="1">
      <c r="A49" s="2">
        <v>45</v>
      </c>
      <c r="B49" s="2" t="s">
        <v>177</v>
      </c>
      <c r="C49" s="9">
        <v>45821</v>
      </c>
      <c r="D49" s="5">
        <v>456000000000</v>
      </c>
      <c r="E49" s="5">
        <v>4.3240061999999998E+24</v>
      </c>
      <c r="F49" s="2" t="s">
        <v>455</v>
      </c>
      <c r="G49" s="4">
        <v>2.0315261791758877E-3</v>
      </c>
      <c r="H49" s="4">
        <v>0.87989781807171186</v>
      </c>
    </row>
    <row r="50" spans="1:8" ht="23.35" customHeight="1">
      <c r="A50" s="2">
        <v>46</v>
      </c>
      <c r="B50" s="2" t="s">
        <v>309</v>
      </c>
      <c r="C50" s="9">
        <v>45502</v>
      </c>
      <c r="D50" s="5"/>
      <c r="E50" s="5">
        <v>4.2999999999999999E+24</v>
      </c>
      <c r="F50" s="2" t="s">
        <v>454</v>
      </c>
      <c r="G50" s="4">
        <v>2.0202474664482023E-3</v>
      </c>
      <c r="H50" s="4">
        <v>0.88191806553815999</v>
      </c>
    </row>
    <row r="51" spans="1:8" ht="23.35" customHeight="1">
      <c r="A51" s="2">
        <v>47</v>
      </c>
      <c r="B51" s="2" t="s">
        <v>178</v>
      </c>
      <c r="C51" s="9">
        <v>45821</v>
      </c>
      <c r="D51" s="5">
        <v>456000000000</v>
      </c>
      <c r="E51" s="5">
        <v>4.1861931000000002E+24</v>
      </c>
      <c r="F51" s="2" t="s">
        <v>455</v>
      </c>
      <c r="G51" s="4">
        <v>1.9667781405437084E-3</v>
      </c>
      <c r="H51" s="4">
        <v>0.88388484367870379</v>
      </c>
    </row>
    <row r="52" spans="1:8" ht="23.35" customHeight="1">
      <c r="A52" s="2">
        <v>48</v>
      </c>
      <c r="B52" s="2" t="s">
        <v>201</v>
      </c>
      <c r="C52" s="9">
        <v>45929</v>
      </c>
      <c r="D52" s="5">
        <v>671000000000</v>
      </c>
      <c r="E52" s="5">
        <v>4.1799999999999998E+24</v>
      </c>
      <c r="F52" s="2" t="s">
        <v>455</v>
      </c>
      <c r="G52" s="4">
        <v>1.9638684673845314E-3</v>
      </c>
      <c r="H52" s="4">
        <v>0.88584871214608818</v>
      </c>
    </row>
    <row r="53" spans="1:8" ht="23.35" customHeight="1">
      <c r="A53" s="2">
        <v>49</v>
      </c>
      <c r="B53" s="2" t="s">
        <v>151</v>
      </c>
      <c r="C53" s="9">
        <v>45712</v>
      </c>
      <c r="D53" s="5">
        <v>30000000000</v>
      </c>
      <c r="E53" s="5">
        <v>4.1015807999999999E+24</v>
      </c>
      <c r="F53" s="2" t="s">
        <v>455</v>
      </c>
      <c r="G53" s="4">
        <v>1.9270251673564162E-3</v>
      </c>
      <c r="H53" s="4">
        <v>0.88777573731344461</v>
      </c>
    </row>
    <row r="54" spans="1:8" ht="23.35" customHeight="1">
      <c r="A54" s="2">
        <v>50</v>
      </c>
      <c r="B54" s="2" t="s">
        <v>337</v>
      </c>
      <c r="C54" s="9">
        <v>45752</v>
      </c>
      <c r="D54" s="5">
        <v>109000000000</v>
      </c>
      <c r="E54" s="5">
        <v>4.0800000000000002E+24</v>
      </c>
      <c r="F54" s="2" t="s">
        <v>454</v>
      </c>
      <c r="G54" s="4">
        <v>1.9168859681648058E-3</v>
      </c>
      <c r="H54" s="4">
        <v>0.88969262328160936</v>
      </c>
    </row>
    <row r="55" spans="1:8" ht="23.35" customHeight="1">
      <c r="A55" s="2">
        <v>51</v>
      </c>
      <c r="B55" s="2" t="s">
        <v>174</v>
      </c>
      <c r="C55" s="9">
        <v>45805</v>
      </c>
      <c r="D55" s="5">
        <v>671000000000</v>
      </c>
      <c r="E55" s="5">
        <v>4.0200100000000002E+24</v>
      </c>
      <c r="F55" s="2" t="s">
        <v>455</v>
      </c>
      <c r="G55" s="4">
        <v>1.8887011668828925E-3</v>
      </c>
      <c r="H55" s="4">
        <v>0.89158132444849236</v>
      </c>
    </row>
    <row r="56" spans="1:8" ht="23.35" customHeight="1">
      <c r="A56" s="2">
        <v>52</v>
      </c>
      <c r="B56" s="2" t="s">
        <v>106</v>
      </c>
      <c r="C56" s="9">
        <v>45345</v>
      </c>
      <c r="D56" s="5">
        <v>530000000000</v>
      </c>
      <c r="E56" s="5">
        <v>3.8999999999999998E+24</v>
      </c>
      <c r="F56" s="2" t="s">
        <v>455</v>
      </c>
      <c r="G56" s="4">
        <v>1.8323174695692996E-3</v>
      </c>
      <c r="H56" s="4">
        <v>0.89341364191806161</v>
      </c>
    </row>
    <row r="57" spans="1:8" ht="23.35" customHeight="1">
      <c r="A57" s="2">
        <v>53</v>
      </c>
      <c r="B57" s="2" t="s">
        <v>70</v>
      </c>
      <c r="C57" s="9">
        <v>45026</v>
      </c>
      <c r="D57" s="5">
        <v>180000000000</v>
      </c>
      <c r="E57" s="5">
        <v>3.8900000000000001E+24</v>
      </c>
      <c r="F57" s="2" t="s">
        <v>455</v>
      </c>
      <c r="G57" s="4">
        <v>1.8276192196473272E-3</v>
      </c>
      <c r="H57" s="4">
        <v>0.89524126113770897</v>
      </c>
    </row>
    <row r="58" spans="1:8" ht="23.35" customHeight="1">
      <c r="A58" s="2">
        <v>54</v>
      </c>
      <c r="B58" s="2" t="s">
        <v>260</v>
      </c>
      <c r="C58" s="9">
        <v>45118</v>
      </c>
      <c r="D58" s="5"/>
      <c r="E58" s="5">
        <v>3.8660000000000001E+24</v>
      </c>
      <c r="F58" s="2" t="s">
        <v>454</v>
      </c>
      <c r="G58" s="4">
        <v>1.8163434198345931E-3</v>
      </c>
      <c r="H58" s="4">
        <v>0.89705760455754369</v>
      </c>
    </row>
    <row r="59" spans="1:8" ht="23.35" customHeight="1">
      <c r="A59" s="2">
        <v>55</v>
      </c>
      <c r="B59" s="2" t="s">
        <v>77</v>
      </c>
      <c r="C59" s="9">
        <v>45175</v>
      </c>
      <c r="D59" s="5">
        <v>180000000000</v>
      </c>
      <c r="E59" s="5">
        <v>3.7599999999999998E+24</v>
      </c>
      <c r="F59" s="2" t="s">
        <v>459</v>
      </c>
      <c r="G59" s="4">
        <v>1.7665419706616838E-3</v>
      </c>
      <c r="H59" s="4">
        <v>0.89882414652820541</v>
      </c>
    </row>
    <row r="60" spans="1:8" ht="23.35" customHeight="1">
      <c r="A60" s="2">
        <v>56</v>
      </c>
      <c r="B60" s="2" t="s">
        <v>195</v>
      </c>
      <c r="C60" s="9">
        <v>45901</v>
      </c>
      <c r="D60" s="5">
        <v>560000000000</v>
      </c>
      <c r="E60" s="5">
        <v>3.7260000000000001E+24</v>
      </c>
      <c r="F60" s="2" t="s">
        <v>455</v>
      </c>
      <c r="G60" s="4">
        <v>1.750567920926977E-3</v>
      </c>
      <c r="H60" s="4">
        <v>0.9005747144491324</v>
      </c>
    </row>
    <row r="61" spans="1:8" ht="23.35" customHeight="1">
      <c r="A61" s="2">
        <v>57</v>
      </c>
      <c r="B61" s="2" t="s">
        <v>172</v>
      </c>
      <c r="C61" s="9">
        <v>45798</v>
      </c>
      <c r="D61" s="5">
        <v>34000000000</v>
      </c>
      <c r="E61" s="5">
        <v>3.6719999999999999E+24</v>
      </c>
      <c r="F61" s="2" t="s">
        <v>459</v>
      </c>
      <c r="G61" s="4">
        <v>1.7251973713483253E-3</v>
      </c>
      <c r="H61" s="4">
        <v>0.90229991182048075</v>
      </c>
    </row>
    <row r="62" spans="1:8" ht="23.35" customHeight="1">
      <c r="A62" s="2">
        <v>58</v>
      </c>
      <c r="B62" s="2" t="s">
        <v>336</v>
      </c>
      <c r="C62" s="9">
        <v>45734</v>
      </c>
      <c r="D62" s="5">
        <v>7000000000</v>
      </c>
      <c r="E62" s="5">
        <v>3.6059017000000002E+24</v>
      </c>
      <c r="F62" s="2" t="s">
        <v>454</v>
      </c>
      <c r="G62" s="4">
        <v>1.6941427380665734E-3</v>
      </c>
      <c r="H62" s="4">
        <v>0.90399405455854731</v>
      </c>
    </row>
    <row r="63" spans="1:8" ht="23.35" customHeight="1">
      <c r="A63" s="2">
        <v>59</v>
      </c>
      <c r="B63" s="2" t="s">
        <v>200</v>
      </c>
      <c r="C63" s="9">
        <v>45922</v>
      </c>
      <c r="D63" s="5">
        <v>671000000000</v>
      </c>
      <c r="E63" s="5">
        <v>3.594058E+24</v>
      </c>
      <c r="F63" s="2" t="s">
        <v>455</v>
      </c>
      <c r="G63" s="4">
        <v>1.6885782718064866E-3</v>
      </c>
      <c r="H63" s="4">
        <v>0.90568263283035377</v>
      </c>
    </row>
    <row r="64" spans="1:8" ht="23.35" customHeight="1">
      <c r="A64" s="2">
        <v>60</v>
      </c>
      <c r="B64" s="2" t="s">
        <v>194</v>
      </c>
      <c r="C64" s="9">
        <v>45890</v>
      </c>
      <c r="D64" s="5">
        <v>671000000000</v>
      </c>
      <c r="E64" s="5">
        <v>3.594058E+24</v>
      </c>
      <c r="F64" s="2" t="s">
        <v>455</v>
      </c>
      <c r="G64" s="4">
        <v>1.6885782718064866E-3</v>
      </c>
      <c r="H64" s="4">
        <v>0.90737121110216012</v>
      </c>
    </row>
    <row r="65" spans="1:8" ht="23.35" customHeight="1">
      <c r="A65" s="2">
        <v>61</v>
      </c>
      <c r="B65" s="2" t="s">
        <v>127</v>
      </c>
      <c r="C65" s="9">
        <v>45552</v>
      </c>
      <c r="D65" s="5">
        <v>32500000000</v>
      </c>
      <c r="E65" s="5">
        <v>3.5099999999999999E+24</v>
      </c>
      <c r="F65" s="2" t="s">
        <v>455</v>
      </c>
      <c r="G65" s="4">
        <v>1.6490857226123697E-3</v>
      </c>
      <c r="H65" s="4">
        <v>0.90902029682477259</v>
      </c>
    </row>
    <row r="66" spans="1:8" ht="23.35" customHeight="1">
      <c r="A66" s="2">
        <v>62</v>
      </c>
      <c r="B66" s="2" t="s">
        <v>147</v>
      </c>
      <c r="C66" s="9">
        <v>45677</v>
      </c>
      <c r="D66" s="5">
        <v>671000000000</v>
      </c>
      <c r="E66" s="5">
        <v>3.5000000000000002E+24</v>
      </c>
      <c r="F66" s="2" t="s">
        <v>455</v>
      </c>
      <c r="G66" s="4">
        <v>1.6443874726903972E-3</v>
      </c>
      <c r="H66" s="4">
        <v>0.91066468429746295</v>
      </c>
    </row>
    <row r="67" spans="1:8" ht="23.35" customHeight="1">
      <c r="A67" s="2">
        <v>63</v>
      </c>
      <c r="B67" s="2" t="s">
        <v>138</v>
      </c>
      <c r="C67" s="9">
        <v>45602</v>
      </c>
      <c r="D67" s="5">
        <v>389000000000</v>
      </c>
      <c r="E67" s="5">
        <v>3.4923699999999998E+24</v>
      </c>
      <c r="F67" s="2" t="s">
        <v>455</v>
      </c>
      <c r="G67" s="4">
        <v>1.6408027079999319E-3</v>
      </c>
      <c r="H67" s="4">
        <v>0.91230548700546288</v>
      </c>
    </row>
    <row r="68" spans="1:8" ht="23.35" customHeight="1">
      <c r="A68" s="2">
        <v>64</v>
      </c>
      <c r="B68" s="2" t="s">
        <v>156</v>
      </c>
      <c r="C68" s="9">
        <v>45740</v>
      </c>
      <c r="D68" s="5">
        <v>671000000000</v>
      </c>
      <c r="E68" s="5">
        <v>3.2999999999999999E+24</v>
      </c>
      <c r="F68" s="2" t="s">
        <v>455</v>
      </c>
      <c r="G68" s="4">
        <v>1.5504224742509459E-3</v>
      </c>
      <c r="H68" s="4">
        <v>0.91385590947971385</v>
      </c>
    </row>
    <row r="69" spans="1:8" ht="23.35" customHeight="1">
      <c r="A69" s="2">
        <v>65</v>
      </c>
      <c r="B69" s="2" t="s">
        <v>144</v>
      </c>
      <c r="C69" s="9">
        <v>45650</v>
      </c>
      <c r="D69" s="5">
        <v>671000000000</v>
      </c>
      <c r="E69" s="5">
        <v>3.2999999999999999E+24</v>
      </c>
      <c r="F69" s="2" t="s">
        <v>455</v>
      </c>
      <c r="G69" s="4">
        <v>1.5504224742509459E-3</v>
      </c>
      <c r="H69" s="4">
        <v>0.91540633195396492</v>
      </c>
    </row>
    <row r="70" spans="1:8" ht="23.35" customHeight="1">
      <c r="A70" s="2">
        <v>66</v>
      </c>
      <c r="B70" s="2" t="s">
        <v>167</v>
      </c>
      <c r="C70" s="9">
        <v>45776</v>
      </c>
      <c r="D70" s="5">
        <v>14800000000</v>
      </c>
      <c r="E70" s="5">
        <v>3.1967999999999998E+24</v>
      </c>
      <c r="F70" s="2" t="s">
        <v>455</v>
      </c>
      <c r="G70" s="4">
        <v>1.501936535056189E-3</v>
      </c>
      <c r="H70" s="4">
        <v>0.91690826848902107</v>
      </c>
    </row>
    <row r="71" spans="1:8" ht="23.35" customHeight="1">
      <c r="A71" s="2">
        <v>67</v>
      </c>
      <c r="B71" s="2" t="s">
        <v>146</v>
      </c>
      <c r="C71" s="9">
        <v>45671</v>
      </c>
      <c r="D71" s="5">
        <v>456000000000</v>
      </c>
      <c r="E71" s="5">
        <v>3.1417631999999999E+24</v>
      </c>
      <c r="F71" s="2" t="s">
        <v>455</v>
      </c>
      <c r="G71" s="4">
        <v>1.476078870925627E-3</v>
      </c>
      <c r="H71" s="4">
        <v>0.91838434735994678</v>
      </c>
    </row>
    <row r="72" spans="1:8" ht="23.35" customHeight="1">
      <c r="A72" s="2">
        <v>68</v>
      </c>
      <c r="B72" s="2" t="s">
        <v>170</v>
      </c>
      <c r="C72" s="9">
        <v>45784</v>
      </c>
      <c r="D72" s="5">
        <v>718000000000</v>
      </c>
      <c r="E72" s="5">
        <v>3.0888E+24</v>
      </c>
      <c r="F72" s="2" t="s">
        <v>455</v>
      </c>
      <c r="G72" s="4">
        <v>1.4511954358988853E-3</v>
      </c>
      <c r="H72" s="4">
        <v>0.91983554279584567</v>
      </c>
    </row>
    <row r="73" spans="1:8" ht="23.35" customHeight="1">
      <c r="A73" s="2">
        <v>69</v>
      </c>
      <c r="B73" s="2" t="s">
        <v>119</v>
      </c>
      <c r="C73" s="9">
        <v>45450</v>
      </c>
      <c r="D73" s="5">
        <v>72710000000</v>
      </c>
      <c r="E73" s="5">
        <v>3.0199999999999999E+24</v>
      </c>
      <c r="F73" s="2" t="s">
        <v>455</v>
      </c>
      <c r="G73" s="4">
        <v>1.4188714764357139E-3</v>
      </c>
      <c r="H73" s="4">
        <v>0.92125441427228139</v>
      </c>
    </row>
    <row r="74" spans="1:8" ht="23.35" customHeight="1">
      <c r="A74" s="2">
        <v>70</v>
      </c>
      <c r="B74" s="2" t="s">
        <v>182</v>
      </c>
      <c r="C74" s="9">
        <v>45849</v>
      </c>
      <c r="D74" s="5">
        <v>1000000000000</v>
      </c>
      <c r="E74" s="5">
        <v>2.9759999999999999E+24</v>
      </c>
      <c r="F74" s="2" t="s">
        <v>455</v>
      </c>
      <c r="G74" s="4">
        <v>1.3981991767790347E-3</v>
      </c>
      <c r="H74" s="4">
        <v>0.92265261344906047</v>
      </c>
    </row>
    <row r="75" spans="1:8" ht="23.35" customHeight="1">
      <c r="A75" s="2">
        <v>71</v>
      </c>
      <c r="B75" s="2" t="s">
        <v>266</v>
      </c>
      <c r="C75" s="9">
        <v>45234</v>
      </c>
      <c r="D75" s="5">
        <v>314000000000</v>
      </c>
      <c r="E75" s="5">
        <v>2.9000000000100001E+24</v>
      </c>
      <c r="F75" s="2" t="s">
        <v>454</v>
      </c>
      <c r="G75" s="4">
        <v>1.3624924773767417E-3</v>
      </c>
      <c r="H75" s="4">
        <v>0.9240151059264371</v>
      </c>
    </row>
    <row r="76" spans="1:8" ht="23.35" customHeight="1">
      <c r="A76" s="2">
        <v>72</v>
      </c>
      <c r="B76" s="2" t="s">
        <v>159</v>
      </c>
      <c r="C76" s="9">
        <v>45761</v>
      </c>
      <c r="D76" s="5">
        <v>32000000000</v>
      </c>
      <c r="E76" s="5">
        <v>2.8799999999999999E+24</v>
      </c>
      <c r="F76" s="2" t="s">
        <v>455</v>
      </c>
      <c r="G76" s="4">
        <v>1.3530959775280981E-3</v>
      </c>
      <c r="H76" s="4">
        <v>0.92536820190396518</v>
      </c>
    </row>
    <row r="77" spans="1:8" ht="23.35" customHeight="1">
      <c r="A77" s="2">
        <v>73</v>
      </c>
      <c r="B77" s="2" t="s">
        <v>161</v>
      </c>
      <c r="C77" s="9">
        <v>45761</v>
      </c>
      <c r="D77" s="5">
        <v>32000000000</v>
      </c>
      <c r="E77" s="5">
        <v>2.8799999999999999E+24</v>
      </c>
      <c r="F77" s="2" t="s">
        <v>455</v>
      </c>
      <c r="G77" s="4">
        <v>1.3530959775280981E-3</v>
      </c>
      <c r="H77" s="4">
        <v>0.92672129788149327</v>
      </c>
    </row>
    <row r="78" spans="1:8" ht="23.35" customHeight="1">
      <c r="A78" s="2">
        <v>74</v>
      </c>
      <c r="B78" s="2" t="s">
        <v>179</v>
      </c>
      <c r="C78" s="9">
        <v>45837</v>
      </c>
      <c r="D78" s="5">
        <v>300000000000</v>
      </c>
      <c r="E78" s="5">
        <v>2.8200000000000001E+24</v>
      </c>
      <c r="F78" s="2" t="s">
        <v>455</v>
      </c>
      <c r="G78" s="4">
        <v>1.3249064779962628E-3</v>
      </c>
      <c r="H78" s="4">
        <v>0.92804620435948959</v>
      </c>
    </row>
    <row r="79" spans="1:8" ht="23.35" customHeight="1">
      <c r="A79" s="2">
        <v>75</v>
      </c>
      <c r="B79" s="2" t="s">
        <v>460</v>
      </c>
      <c r="C79" s="9">
        <v>45664</v>
      </c>
      <c r="D79" s="5">
        <v>14000000000</v>
      </c>
      <c r="E79" s="5">
        <v>2.8000000000000002E+24</v>
      </c>
      <c r="F79" s="2" t="s">
        <v>454</v>
      </c>
      <c r="G79" s="4">
        <v>1.3155099781523179E-3</v>
      </c>
      <c r="H79" s="4">
        <v>0.92936171433764192</v>
      </c>
    </row>
    <row r="80" spans="1:8" ht="23.35" customHeight="1">
      <c r="A80" s="2">
        <v>76</v>
      </c>
      <c r="B80" s="2" t="s">
        <v>327</v>
      </c>
      <c r="C80" s="9">
        <v>45664</v>
      </c>
      <c r="D80" s="5">
        <v>14000000000</v>
      </c>
      <c r="E80" s="5">
        <v>2.8000000000000002E+24</v>
      </c>
      <c r="F80" s="2" t="s">
        <v>454</v>
      </c>
      <c r="G80" s="4">
        <v>1.3155099781523179E-3</v>
      </c>
      <c r="H80" s="4">
        <v>0.93067722431579425</v>
      </c>
    </row>
    <row r="81" spans="1:8" ht="23.35" customHeight="1">
      <c r="A81" s="2">
        <v>77</v>
      </c>
      <c r="B81" s="2" t="s">
        <v>246</v>
      </c>
      <c r="C81" s="9">
        <v>44741</v>
      </c>
      <c r="D81" s="5">
        <v>540350000000</v>
      </c>
      <c r="E81" s="5">
        <v>2.7415000000000002E+24</v>
      </c>
      <c r="F81" s="2" t="s">
        <v>454</v>
      </c>
      <c r="G81" s="4">
        <v>1.2880252161087784E-3</v>
      </c>
      <c r="H81" s="4">
        <v>0.93196524953190307</v>
      </c>
    </row>
    <row r="82" spans="1:8" ht="23.35" customHeight="1">
      <c r="A82" s="2">
        <v>78</v>
      </c>
      <c r="B82" s="2" t="s">
        <v>183</v>
      </c>
      <c r="C82" s="9">
        <v>45853</v>
      </c>
      <c r="D82" s="5">
        <v>32000000000</v>
      </c>
      <c r="E82" s="5">
        <v>2.69000000000001E+24</v>
      </c>
      <c r="F82" s="2" t="s">
        <v>461</v>
      </c>
      <c r="G82" s="4">
        <v>1.2638292290106242E-3</v>
      </c>
      <c r="H82" s="4">
        <v>0.93322907876091377</v>
      </c>
    </row>
    <row r="83" spans="1:8" ht="23.35" customHeight="1">
      <c r="A83" s="2">
        <v>79</v>
      </c>
      <c r="B83" s="2" t="s">
        <v>282</v>
      </c>
      <c r="C83" s="9">
        <v>45378</v>
      </c>
      <c r="D83" s="5">
        <v>132000000000</v>
      </c>
      <c r="E83" s="5">
        <v>2.5999999999999998E+24</v>
      </c>
      <c r="F83" s="2" t="s">
        <v>454</v>
      </c>
      <c r="G83" s="4">
        <v>1.2215449797128664E-3</v>
      </c>
      <c r="H83" s="4">
        <v>0.9344506237406266</v>
      </c>
    </row>
    <row r="84" spans="1:8" ht="23.35" customHeight="1">
      <c r="A84" s="2">
        <v>80</v>
      </c>
      <c r="B84" s="2" t="s">
        <v>193</v>
      </c>
      <c r="C84" s="9">
        <v>45890</v>
      </c>
      <c r="D84" s="5"/>
      <c r="E84" s="5">
        <v>2.5920000000000002E+24</v>
      </c>
      <c r="F84" s="2" t="s">
        <v>455</v>
      </c>
      <c r="G84" s="4">
        <v>1.2177863797752885E-3</v>
      </c>
      <c r="H84" s="4">
        <v>0.93566841012040192</v>
      </c>
    </row>
    <row r="85" spans="1:8" ht="23.35" customHeight="1">
      <c r="A85" s="2">
        <v>81</v>
      </c>
      <c r="B85" s="2" t="s">
        <v>237</v>
      </c>
      <c r="C85" s="9">
        <v>44635</v>
      </c>
      <c r="D85" s="5"/>
      <c r="E85" s="5">
        <v>2.5779999999999999E+24</v>
      </c>
      <c r="F85" s="2" t="s">
        <v>454</v>
      </c>
      <c r="G85" s="4">
        <v>1.2112088298845268E-3</v>
      </c>
      <c r="H85" s="4">
        <v>0.93687961895028637</v>
      </c>
    </row>
    <row r="86" spans="1:8" ht="23.35" customHeight="1">
      <c r="A86" s="2">
        <v>82</v>
      </c>
      <c r="B86" s="2" t="s">
        <v>238</v>
      </c>
      <c r="C86" s="9">
        <v>44655</v>
      </c>
      <c r="D86" s="5">
        <v>540350000000</v>
      </c>
      <c r="E86" s="5">
        <v>2.5272000000000002E+24</v>
      </c>
      <c r="F86" s="2" t="s">
        <v>454</v>
      </c>
      <c r="G86" s="4">
        <v>1.1873417202809063E-3</v>
      </c>
      <c r="H86" s="4">
        <v>0.93806696067056727</v>
      </c>
    </row>
    <row r="87" spans="1:8" ht="23.35" customHeight="1">
      <c r="A87" s="2">
        <v>83</v>
      </c>
      <c r="B87" s="2" t="s">
        <v>222</v>
      </c>
      <c r="C87" s="9">
        <v>45399</v>
      </c>
      <c r="D87" s="5">
        <v>141000000000</v>
      </c>
      <c r="E87" s="5">
        <v>2.34E+24</v>
      </c>
      <c r="F87" s="2" t="s">
        <v>456</v>
      </c>
      <c r="G87" s="4">
        <v>1.0993904817415798E-3</v>
      </c>
      <c r="H87" s="4">
        <v>0.93916635115230884</v>
      </c>
    </row>
    <row r="88" spans="1:8" ht="23.35" customHeight="1">
      <c r="A88" s="2">
        <v>84</v>
      </c>
      <c r="B88" s="2" t="s">
        <v>331</v>
      </c>
      <c r="C88" s="9">
        <v>45707</v>
      </c>
      <c r="D88" s="5">
        <v>40300000000</v>
      </c>
      <c r="E88" s="5">
        <v>2.2500000000000001E+24</v>
      </c>
      <c r="F88" s="2" t="s">
        <v>454</v>
      </c>
      <c r="G88" s="4">
        <v>1.0571062324438267E-3</v>
      </c>
      <c r="H88" s="4">
        <v>0.94022345738475266</v>
      </c>
    </row>
    <row r="89" spans="1:8" ht="23.35" customHeight="1">
      <c r="A89" s="2">
        <v>85</v>
      </c>
      <c r="B89" s="2" t="s">
        <v>338</v>
      </c>
      <c r="C89" s="9">
        <v>45752</v>
      </c>
      <c r="D89" s="5">
        <v>400000000000</v>
      </c>
      <c r="E89" s="5">
        <v>2.2440000000009999E+24</v>
      </c>
      <c r="F89" s="2" t="s">
        <v>454</v>
      </c>
      <c r="G89" s="4">
        <v>1.0542872824911131E-3</v>
      </c>
      <c r="H89" s="4">
        <v>0.94127774466724368</v>
      </c>
    </row>
    <row r="90" spans="1:8" ht="23.35" customHeight="1">
      <c r="A90" s="2">
        <v>86</v>
      </c>
      <c r="B90" s="2" t="s">
        <v>145</v>
      </c>
      <c r="C90" s="9">
        <v>45671</v>
      </c>
      <c r="D90" s="5"/>
      <c r="E90" s="5">
        <v>2.1238848000000001E+24</v>
      </c>
      <c r="F90" s="2" t="s">
        <v>455</v>
      </c>
      <c r="G90" s="4">
        <v>9.9785415958787141E-4</v>
      </c>
      <c r="H90" s="4">
        <v>0.94227559882683154</v>
      </c>
    </row>
    <row r="91" spans="1:8" ht="23.35" customHeight="1">
      <c r="A91" s="2">
        <v>87</v>
      </c>
      <c r="B91" s="2" t="s">
        <v>302</v>
      </c>
      <c r="C91" s="9">
        <v>45467</v>
      </c>
      <c r="D91" s="5">
        <v>27000000000</v>
      </c>
      <c r="E91" s="5">
        <v>2.106E+24</v>
      </c>
      <c r="F91" s="2" t="s">
        <v>454</v>
      </c>
      <c r="G91" s="4">
        <v>9.894514335674219E-4</v>
      </c>
      <c r="H91" s="4">
        <v>0.94326505026039897</v>
      </c>
    </row>
    <row r="92" spans="1:8" ht="23.35" customHeight="1">
      <c r="A92" s="2">
        <v>88</v>
      </c>
      <c r="B92" s="2" t="s">
        <v>191</v>
      </c>
      <c r="C92" s="9">
        <v>45884</v>
      </c>
      <c r="D92" s="5">
        <v>108000000000</v>
      </c>
      <c r="E92" s="5">
        <v>1.7999999999999999E+24</v>
      </c>
      <c r="F92" s="2" t="s">
        <v>455</v>
      </c>
      <c r="G92" s="4">
        <v>8.4568498595506139E-4</v>
      </c>
      <c r="H92" s="4">
        <v>0.94411073524635403</v>
      </c>
    </row>
    <row r="93" spans="1:8" ht="23.35" customHeight="1">
      <c r="A93" s="2">
        <v>89</v>
      </c>
      <c r="B93" s="2" t="s">
        <v>112</v>
      </c>
      <c r="C93" s="9">
        <v>45425</v>
      </c>
      <c r="D93" s="5">
        <v>100000000000</v>
      </c>
      <c r="E93" s="5">
        <v>1.7999999999999999E+24</v>
      </c>
      <c r="F93" s="2" t="s">
        <v>455</v>
      </c>
      <c r="G93" s="4">
        <v>8.4568498595506139E-4</v>
      </c>
      <c r="H93" s="4">
        <v>0.94495642023230908</v>
      </c>
    </row>
    <row r="94" spans="1:8" ht="23.35" customHeight="1">
      <c r="A94" s="2">
        <v>90</v>
      </c>
      <c r="B94" s="2" t="s">
        <v>126</v>
      </c>
      <c r="C94" s="9">
        <v>45541</v>
      </c>
      <c r="D94" s="5">
        <v>236000000000</v>
      </c>
      <c r="E94" s="5">
        <v>1.7892000000000001E+24</v>
      </c>
      <c r="F94" s="2" t="s">
        <v>455</v>
      </c>
      <c r="G94" s="4">
        <v>8.4061087603933102E-4</v>
      </c>
      <c r="H94" s="4">
        <v>0.94579703110834834</v>
      </c>
    </row>
    <row r="95" spans="1:8" ht="23.35" customHeight="1">
      <c r="A95" s="2">
        <v>91</v>
      </c>
      <c r="B95" s="2" t="s">
        <v>162</v>
      </c>
      <c r="C95" s="9">
        <v>45776</v>
      </c>
      <c r="D95" s="5">
        <v>8200000000</v>
      </c>
      <c r="E95" s="5">
        <v>1.7711999999999999E+24</v>
      </c>
      <c r="F95" s="2" t="s">
        <v>455</v>
      </c>
      <c r="G95" s="4">
        <v>8.3215402617978034E-4</v>
      </c>
      <c r="H95" s="4">
        <v>0.94662918513452809</v>
      </c>
    </row>
    <row r="96" spans="1:8" ht="23.35" customHeight="1">
      <c r="A96" s="2">
        <v>92</v>
      </c>
      <c r="B96" s="2" t="s">
        <v>65</v>
      </c>
      <c r="C96" s="9">
        <v>44544</v>
      </c>
      <c r="D96" s="5">
        <v>300000000000</v>
      </c>
      <c r="E96" s="5">
        <v>1.6955999999999999E+24</v>
      </c>
      <c r="F96" s="2" t="s">
        <v>461</v>
      </c>
      <c r="G96" s="4">
        <v>7.9663525676966778E-4</v>
      </c>
      <c r="H96" s="4">
        <v>0.94742582039129786</v>
      </c>
    </row>
    <row r="97" spans="1:8" ht="23.35" customHeight="1">
      <c r="A97" s="2">
        <v>93</v>
      </c>
      <c r="B97" s="2" t="s">
        <v>189</v>
      </c>
      <c r="C97" s="9">
        <v>45874</v>
      </c>
      <c r="D97" s="5">
        <v>106000000000</v>
      </c>
      <c r="E97" s="5">
        <v>1.6560000000000001E+24</v>
      </c>
      <c r="F97" s="2" t="s">
        <v>455</v>
      </c>
      <c r="G97" s="4">
        <v>7.7803018707865647E-4</v>
      </c>
      <c r="H97" s="4">
        <v>0.94820385057837653</v>
      </c>
    </row>
    <row r="98" spans="1:8" ht="23.35" customHeight="1">
      <c r="A98" s="2">
        <v>94</v>
      </c>
      <c r="B98" s="2" t="s">
        <v>314</v>
      </c>
      <c r="C98" s="9">
        <v>45569</v>
      </c>
      <c r="D98" s="5">
        <v>30000000000</v>
      </c>
      <c r="E98" s="5">
        <v>1.6499999999999999E+24</v>
      </c>
      <c r="F98" s="2" t="s">
        <v>454</v>
      </c>
      <c r="G98" s="4">
        <v>7.7521123712547295E-4</v>
      </c>
      <c r="H98" s="4">
        <v>0.94897906181550196</v>
      </c>
    </row>
    <row r="99" spans="1:8" ht="23.35" customHeight="1">
      <c r="A99" s="2">
        <v>95</v>
      </c>
      <c r="B99" s="2" t="s">
        <v>296</v>
      </c>
      <c r="C99" s="9">
        <v>45428</v>
      </c>
      <c r="D99" s="5">
        <v>34000000000</v>
      </c>
      <c r="E99" s="5">
        <v>1.6453571041000001E+24</v>
      </c>
      <c r="F99" s="2" t="s">
        <v>462</v>
      </c>
      <c r="G99" s="4">
        <v>7.7302988859548284E-4</v>
      </c>
      <c r="H99" s="4">
        <v>0.94975209170409747</v>
      </c>
    </row>
    <row r="100" spans="1:8" ht="23.35" customHeight="1">
      <c r="A100" s="2">
        <v>96</v>
      </c>
      <c r="B100" s="2" t="s">
        <v>133</v>
      </c>
      <c r="C100" s="9">
        <v>45554</v>
      </c>
      <c r="D100" s="5">
        <v>14700000000</v>
      </c>
      <c r="E100" s="5">
        <v>1.58760000000001E+24</v>
      </c>
      <c r="F100" s="2" t="s">
        <v>455</v>
      </c>
      <c r="G100" s="4">
        <v>7.4589415761236889E-4</v>
      </c>
      <c r="H100" s="4">
        <v>0.95049798586170986</v>
      </c>
    </row>
    <row r="101" spans="1:8" ht="23.35" customHeight="1">
      <c r="A101" s="2">
        <v>97</v>
      </c>
      <c r="B101" s="2" t="s">
        <v>184</v>
      </c>
      <c r="C101" s="9">
        <v>45860</v>
      </c>
      <c r="D101" s="5">
        <v>480000000000</v>
      </c>
      <c r="E101" s="5">
        <v>1.5750000000000001E+24</v>
      </c>
      <c r="F101" s="2" t="s">
        <v>455</v>
      </c>
      <c r="G101" s="4">
        <v>7.3997436271067878E-4</v>
      </c>
      <c r="H101" s="4">
        <v>0.95123796022442042</v>
      </c>
    </row>
    <row r="102" spans="1:8" ht="23.35" customHeight="1">
      <c r="A102" s="2">
        <v>98</v>
      </c>
      <c r="B102" s="2" t="s">
        <v>153</v>
      </c>
      <c r="C102" s="9">
        <v>45726</v>
      </c>
      <c r="D102" s="5">
        <v>290000000000</v>
      </c>
      <c r="E102" s="5">
        <v>1.5552000000000001E+24</v>
      </c>
      <c r="F102" s="2" t="s">
        <v>455</v>
      </c>
      <c r="G102" s="4">
        <v>7.3067182786517313E-4</v>
      </c>
      <c r="H102" s="4">
        <v>0.95196863205228566</v>
      </c>
    </row>
    <row r="103" spans="1:8" ht="23.35" customHeight="1">
      <c r="A103" s="2">
        <v>99</v>
      </c>
      <c r="B103" s="2" t="s">
        <v>59</v>
      </c>
      <c r="C103" s="9">
        <v>44347</v>
      </c>
      <c r="D103" s="5">
        <v>1750000000000</v>
      </c>
      <c r="E103" s="5">
        <v>1.5435000000000101E+24</v>
      </c>
      <c r="F103" s="2" t="s">
        <v>455</v>
      </c>
      <c r="G103" s="4">
        <v>7.2517487545646988E-4</v>
      </c>
      <c r="H103" s="4">
        <v>0.95269380692774208</v>
      </c>
    </row>
    <row r="104" spans="1:8" ht="23.35" customHeight="1">
      <c r="A104" s="2">
        <v>100</v>
      </c>
      <c r="B104" s="2" t="s">
        <v>349</v>
      </c>
      <c r="C104" s="9">
        <v>45887</v>
      </c>
      <c r="D104" s="5">
        <v>9000000000</v>
      </c>
      <c r="E104" s="5">
        <v>1.5300000000000001E+24</v>
      </c>
      <c r="F104" s="2" t="s">
        <v>454</v>
      </c>
      <c r="G104" s="4">
        <v>7.1883223806180224E-4</v>
      </c>
      <c r="H104" s="4">
        <v>0.95341263916580388</v>
      </c>
    </row>
    <row r="105" spans="1:8" ht="23.35" customHeight="1">
      <c r="A105" s="2">
        <v>101</v>
      </c>
      <c r="B105" s="2" t="s">
        <v>206</v>
      </c>
      <c r="C105" s="9">
        <v>46022</v>
      </c>
      <c r="D105" s="5">
        <v>236000000000</v>
      </c>
      <c r="E105" s="5">
        <v>1.5199999999999999E+24</v>
      </c>
      <c r="F105" s="2" t="s">
        <v>461</v>
      </c>
      <c r="G105" s="4">
        <v>7.1413398813982955E-4</v>
      </c>
      <c r="H105" s="4">
        <v>0.95412677315394367</v>
      </c>
    </row>
    <row r="106" spans="1:8" ht="23.35" customHeight="1">
      <c r="A106" s="2">
        <v>102</v>
      </c>
      <c r="B106" s="2" t="s">
        <v>350</v>
      </c>
      <c r="C106" s="9">
        <v>45887</v>
      </c>
      <c r="D106" s="5">
        <v>12000000000</v>
      </c>
      <c r="E106" s="5">
        <v>1.5192E+24</v>
      </c>
      <c r="F106" s="2" t="s">
        <v>454</v>
      </c>
      <c r="G106" s="4">
        <v>7.1375812814607187E-4</v>
      </c>
      <c r="H106" s="4">
        <v>0.95484053128208968</v>
      </c>
    </row>
    <row r="107" spans="1:8" ht="23.35" customHeight="1">
      <c r="A107" s="2">
        <v>103</v>
      </c>
      <c r="B107" s="2" t="s">
        <v>136</v>
      </c>
      <c r="C107" s="9">
        <v>45583</v>
      </c>
      <c r="D107" s="5"/>
      <c r="E107" s="5">
        <v>1.5E+24</v>
      </c>
      <c r="F107" s="2" t="s">
        <v>455</v>
      </c>
      <c r="G107" s="4">
        <v>7.0473748829588451E-4</v>
      </c>
      <c r="H107" s="4">
        <v>0.9555452687703857</v>
      </c>
    </row>
    <row r="108" spans="1:8" ht="23.35" customHeight="1">
      <c r="A108" s="2">
        <v>104</v>
      </c>
      <c r="B108" s="2" t="s">
        <v>342</v>
      </c>
      <c r="C108" s="9">
        <v>45775</v>
      </c>
      <c r="D108" s="5">
        <v>8000000000</v>
      </c>
      <c r="E108" s="5">
        <v>1.4687999999999999E+24</v>
      </c>
      <c r="F108" s="2" t="s">
        <v>454</v>
      </c>
      <c r="G108" s="4">
        <v>6.9007894853933009E-4</v>
      </c>
      <c r="H108" s="4">
        <v>0.95623534771892493</v>
      </c>
    </row>
    <row r="109" spans="1:8" ht="23.35" customHeight="1">
      <c r="A109" s="2">
        <v>105</v>
      </c>
      <c r="B109" s="2" t="s">
        <v>326</v>
      </c>
      <c r="C109" s="9">
        <v>45664</v>
      </c>
      <c r="D109" s="5">
        <v>7000000000</v>
      </c>
      <c r="E109" s="5">
        <v>1.4000000000000001E+24</v>
      </c>
      <c r="F109" s="2" t="s">
        <v>454</v>
      </c>
      <c r="G109" s="4">
        <v>6.5775498907615895E-4</v>
      </c>
      <c r="H109" s="4">
        <v>0.9568931027080011</v>
      </c>
    </row>
    <row r="110" spans="1:8" ht="23.35" customHeight="1">
      <c r="A110" s="2">
        <v>106</v>
      </c>
      <c r="B110" s="2" t="s">
        <v>171</v>
      </c>
      <c r="C110" s="9">
        <v>45788</v>
      </c>
      <c r="D110" s="5"/>
      <c r="E110" s="5">
        <v>1.3885560000000001E+24</v>
      </c>
      <c r="F110" s="2" t="s">
        <v>455</v>
      </c>
      <c r="G110" s="4">
        <v>6.523783118654535E-4</v>
      </c>
      <c r="H110" s="4">
        <v>0.95754548101986647</v>
      </c>
    </row>
    <row r="111" spans="1:8" ht="23.35" customHeight="1">
      <c r="A111" s="2">
        <v>107</v>
      </c>
      <c r="B111" s="2" t="s">
        <v>334</v>
      </c>
      <c r="C111" s="9">
        <v>45729</v>
      </c>
      <c r="D111" s="5">
        <v>32000000000</v>
      </c>
      <c r="E111" s="5">
        <v>1.2999999999999999E+24</v>
      </c>
      <c r="F111" s="2" t="s">
        <v>454</v>
      </c>
      <c r="G111" s="4">
        <v>6.1077248985643318E-4</v>
      </c>
      <c r="H111" s="4">
        <v>0.95815625350972289</v>
      </c>
    </row>
    <row r="112" spans="1:8" ht="23.35" customHeight="1">
      <c r="A112" s="2">
        <v>108</v>
      </c>
      <c r="B112" s="2" t="s">
        <v>104</v>
      </c>
      <c r="C112" s="9">
        <v>45326</v>
      </c>
      <c r="D112" s="5">
        <v>72000000000</v>
      </c>
      <c r="E112" s="5">
        <v>1.2999999999999999E+24</v>
      </c>
      <c r="F112" s="2" t="s">
        <v>455</v>
      </c>
      <c r="G112" s="4">
        <v>6.1077248985643318E-4</v>
      </c>
      <c r="H112" s="4">
        <v>0.9587670259995793</v>
      </c>
    </row>
    <row r="113" spans="1:8" ht="23.35" customHeight="1">
      <c r="A113" s="2">
        <v>109</v>
      </c>
      <c r="B113" s="2" t="s">
        <v>96</v>
      </c>
      <c r="C113" s="9">
        <v>45260</v>
      </c>
      <c r="D113" s="5">
        <v>72000000000</v>
      </c>
      <c r="E113" s="5">
        <v>1.2999999999999999E+24</v>
      </c>
      <c r="F113" s="2" t="s">
        <v>455</v>
      </c>
      <c r="G113" s="4">
        <v>6.1077248985643318E-4</v>
      </c>
      <c r="H113" s="4">
        <v>0.95937779848943572</v>
      </c>
    </row>
    <row r="114" spans="1:8" ht="23.35" customHeight="1">
      <c r="A114" s="2">
        <v>110</v>
      </c>
      <c r="B114" s="2" t="s">
        <v>173</v>
      </c>
      <c r="C114" s="9">
        <v>45805</v>
      </c>
      <c r="D114" s="5">
        <v>71990000000</v>
      </c>
      <c r="E114" s="5">
        <v>1.2869999999999999E+24</v>
      </c>
      <c r="F114" s="2" t="s">
        <v>455</v>
      </c>
      <c r="G114" s="4">
        <v>6.0466476495786884E-4</v>
      </c>
      <c r="H114" s="4">
        <v>0.95998246325439363</v>
      </c>
    </row>
    <row r="115" spans="1:8" ht="23.35" customHeight="1">
      <c r="A115" s="2">
        <v>111</v>
      </c>
      <c r="B115" s="2" t="s">
        <v>273</v>
      </c>
      <c r="C115" s="9">
        <v>45320</v>
      </c>
      <c r="D115" s="5">
        <v>70000000000</v>
      </c>
      <c r="E115" s="5">
        <v>1.2600000000000001E+24</v>
      </c>
      <c r="F115" s="2" t="s">
        <v>454</v>
      </c>
      <c r="G115" s="4">
        <v>5.9197949016854298E-4</v>
      </c>
      <c r="H115" s="4">
        <v>0.96057444274456216</v>
      </c>
    </row>
    <row r="116" spans="1:8" ht="23.35" customHeight="1">
      <c r="A116" s="2">
        <v>112</v>
      </c>
      <c r="B116" s="2" t="s">
        <v>142</v>
      </c>
      <c r="C116" s="9">
        <v>45635</v>
      </c>
      <c r="D116" s="5">
        <v>32000000000</v>
      </c>
      <c r="E116" s="5">
        <v>1.2500000000000001E+24</v>
      </c>
      <c r="F116" s="2" t="s">
        <v>461</v>
      </c>
      <c r="G116" s="4">
        <v>5.8728124024657051E-4</v>
      </c>
      <c r="H116" s="4">
        <v>0.96116172398480881</v>
      </c>
    </row>
    <row r="117" spans="1:8" ht="23.35" customHeight="1">
      <c r="A117" s="2">
        <v>113</v>
      </c>
      <c r="B117" s="2" t="s">
        <v>97</v>
      </c>
      <c r="C117" s="9">
        <v>45268</v>
      </c>
      <c r="D117" s="5">
        <v>65000000000</v>
      </c>
      <c r="E117" s="5">
        <v>1.24800000000001E+24</v>
      </c>
      <c r="F117" s="2" t="s">
        <v>455</v>
      </c>
      <c r="G117" s="4">
        <v>5.8634159026218059E-4</v>
      </c>
      <c r="H117" s="4">
        <v>0.96174806557507098</v>
      </c>
    </row>
    <row r="118" spans="1:8" ht="23.35" customHeight="1">
      <c r="A118" s="2">
        <v>114</v>
      </c>
      <c r="B118" s="2" t="s">
        <v>306</v>
      </c>
      <c r="C118" s="9">
        <v>45496</v>
      </c>
      <c r="D118" s="5">
        <v>8000000000</v>
      </c>
      <c r="E118" s="5">
        <v>1.2240000000000001E+24</v>
      </c>
      <c r="F118" s="2" t="s">
        <v>454</v>
      </c>
      <c r="G118" s="4">
        <v>5.7506579044944172E-4</v>
      </c>
      <c r="H118" s="4">
        <v>0.96232313136552028</v>
      </c>
    </row>
    <row r="119" spans="1:8" ht="23.35" customHeight="1">
      <c r="A119" s="2">
        <v>115</v>
      </c>
      <c r="B119" s="2" t="s">
        <v>181</v>
      </c>
      <c r="C119" s="9">
        <v>45844</v>
      </c>
      <c r="D119" s="5">
        <v>142000000000</v>
      </c>
      <c r="E119" s="5">
        <v>1.2164856000000001E+24</v>
      </c>
      <c r="F119" s="2" t="s">
        <v>455</v>
      </c>
      <c r="G119" s="4">
        <v>5.7153533752807469E-4</v>
      </c>
      <c r="H119" s="4">
        <v>0.96289466670304835</v>
      </c>
    </row>
    <row r="120" spans="1:8" ht="23.35" customHeight="1">
      <c r="A120" s="2">
        <v>116</v>
      </c>
      <c r="B120" s="2" t="s">
        <v>352</v>
      </c>
      <c r="C120" s="9">
        <v>45932</v>
      </c>
      <c r="D120" s="5">
        <v>32000000000</v>
      </c>
      <c r="E120" s="5">
        <v>1.2150000000000001E+24</v>
      </c>
      <c r="F120" s="2" t="s">
        <v>454</v>
      </c>
      <c r="G120" s="4">
        <v>5.7083736551966644E-4</v>
      </c>
      <c r="H120" s="4">
        <v>0.96346550406856801</v>
      </c>
    </row>
    <row r="121" spans="1:8" ht="23.35" customHeight="1">
      <c r="A121" s="2">
        <v>117</v>
      </c>
      <c r="B121" s="2" t="s">
        <v>121</v>
      </c>
      <c r="C121" s="9">
        <v>45457</v>
      </c>
      <c r="D121" s="5">
        <v>100000000000</v>
      </c>
      <c r="E121" s="5">
        <v>1.2E+24</v>
      </c>
      <c r="F121" s="2" t="s">
        <v>463</v>
      </c>
      <c r="G121" s="4">
        <v>5.6378999063670763E-4</v>
      </c>
      <c r="H121" s="4">
        <v>0.96402929405920468</v>
      </c>
    </row>
    <row r="122" spans="1:8" ht="23.35" customHeight="1">
      <c r="A122" s="2">
        <v>118</v>
      </c>
      <c r="B122" s="2" t="s">
        <v>87</v>
      </c>
      <c r="C122" s="9">
        <v>45230</v>
      </c>
      <c r="D122" s="5">
        <v>200000000000</v>
      </c>
      <c r="E122" s="5">
        <v>1.2E+24</v>
      </c>
      <c r="F122" s="2" t="s">
        <v>461</v>
      </c>
      <c r="G122" s="4">
        <v>5.6378999063670763E-4</v>
      </c>
      <c r="H122" s="4">
        <v>0.96459308404984134</v>
      </c>
    </row>
    <row r="123" spans="1:8" ht="23.35" customHeight="1">
      <c r="A123" s="2">
        <v>119</v>
      </c>
      <c r="B123" s="2" t="s">
        <v>79</v>
      </c>
      <c r="C123" s="9">
        <v>45176</v>
      </c>
      <c r="D123" s="5">
        <v>100000000000</v>
      </c>
      <c r="E123" s="5">
        <v>1.2E+24</v>
      </c>
      <c r="F123" s="2" t="s">
        <v>455</v>
      </c>
      <c r="G123" s="4">
        <v>5.6378999063670763E-4</v>
      </c>
      <c r="H123" s="4">
        <v>0.96515687404047812</v>
      </c>
    </row>
    <row r="124" spans="1:8" ht="23.35" customHeight="1">
      <c r="A124" s="2">
        <v>120</v>
      </c>
      <c r="B124" s="2" t="s">
        <v>75</v>
      </c>
      <c r="C124" s="9">
        <v>45167</v>
      </c>
      <c r="D124" s="5">
        <v>100000000000</v>
      </c>
      <c r="E124" s="5">
        <v>1.2E+24</v>
      </c>
      <c r="F124" s="2" t="s">
        <v>455</v>
      </c>
      <c r="G124" s="4">
        <v>5.6378999063670763E-4</v>
      </c>
      <c r="H124" s="4">
        <v>0.96572066403111478</v>
      </c>
    </row>
    <row r="125" spans="1:8" ht="23.35" customHeight="1">
      <c r="A125" s="2">
        <v>121</v>
      </c>
      <c r="B125" s="2" t="s">
        <v>175</v>
      </c>
      <c r="C125" s="9">
        <v>45812</v>
      </c>
      <c r="D125" s="5">
        <v>7000000000</v>
      </c>
      <c r="E125" s="5">
        <v>1.1507999999999999E+24</v>
      </c>
      <c r="F125" s="2" t="s">
        <v>455</v>
      </c>
      <c r="G125" s="4">
        <v>5.4067460102060253E-4</v>
      </c>
      <c r="H125" s="4">
        <v>0.96626133863213537</v>
      </c>
    </row>
    <row r="126" spans="1:8" ht="23.35" customHeight="1">
      <c r="A126" s="2">
        <v>122</v>
      </c>
      <c r="B126" s="2" t="s">
        <v>355</v>
      </c>
      <c r="C126" s="9">
        <v>45981</v>
      </c>
      <c r="D126" s="5">
        <v>32000000000</v>
      </c>
      <c r="E126" s="5">
        <v>1.1E+24</v>
      </c>
      <c r="F126" s="2" t="s">
        <v>454</v>
      </c>
      <c r="G126" s="4">
        <v>5.1680749141698196E-4</v>
      </c>
      <c r="H126" s="4">
        <v>0.9667781461235524</v>
      </c>
    </row>
    <row r="127" spans="1:8" ht="23.35" customHeight="1">
      <c r="A127" s="2">
        <v>123</v>
      </c>
      <c r="B127" s="2" t="s">
        <v>139</v>
      </c>
      <c r="C127" s="9">
        <v>45608</v>
      </c>
      <c r="D127" s="5">
        <v>32500000000</v>
      </c>
      <c r="E127" s="5">
        <v>1.0725E+24</v>
      </c>
      <c r="F127" s="2" t="s">
        <v>455</v>
      </c>
      <c r="G127" s="4">
        <v>5.0388730413155746E-4</v>
      </c>
      <c r="H127" s="4">
        <v>0.96728203342768393</v>
      </c>
    </row>
    <row r="128" spans="1:8" ht="23.35" customHeight="1">
      <c r="A128" s="2">
        <v>124</v>
      </c>
      <c r="B128" s="2" t="s">
        <v>303</v>
      </c>
      <c r="C128" s="9">
        <v>45468</v>
      </c>
      <c r="D128" s="5">
        <v>98500000000</v>
      </c>
      <c r="E128" s="5">
        <v>1.07E+24</v>
      </c>
      <c r="F128" s="2" t="s">
        <v>454</v>
      </c>
      <c r="G128" s="4">
        <v>5.0271274165106423E-4</v>
      </c>
      <c r="H128" s="4">
        <v>0.96778474616933496</v>
      </c>
    </row>
    <row r="129" spans="1:8" ht="23.35" customHeight="1">
      <c r="A129" s="2">
        <v>125</v>
      </c>
      <c r="B129" s="2" t="s">
        <v>115</v>
      </c>
      <c r="C129" s="9">
        <v>45433</v>
      </c>
      <c r="D129" s="5">
        <v>34000000000</v>
      </c>
      <c r="E129" s="5">
        <v>1.0608E+24</v>
      </c>
      <c r="F129" s="2" t="s">
        <v>457</v>
      </c>
      <c r="G129" s="4">
        <v>4.9839035172284955E-4</v>
      </c>
      <c r="H129" s="4">
        <v>0.96828313652105791</v>
      </c>
    </row>
    <row r="130" spans="1:8" ht="23.35" customHeight="1">
      <c r="A130" s="2">
        <v>126</v>
      </c>
      <c r="B130" s="2" t="s">
        <v>176</v>
      </c>
      <c r="C130" s="9">
        <v>45813</v>
      </c>
      <c r="D130" s="5">
        <v>7000000000</v>
      </c>
      <c r="E130" s="5">
        <v>1.0500000000000001E+24</v>
      </c>
      <c r="F130" s="2" t="s">
        <v>455</v>
      </c>
      <c r="G130" s="4">
        <v>4.9331624180711919E-4</v>
      </c>
      <c r="H130" s="4">
        <v>0.96877645276286495</v>
      </c>
    </row>
    <row r="131" spans="1:8" ht="23.35" customHeight="1">
      <c r="A131" s="2">
        <v>127</v>
      </c>
      <c r="B131" s="2" t="s">
        <v>93</v>
      </c>
      <c r="C131" s="9">
        <v>45232</v>
      </c>
      <c r="D131" s="5">
        <v>175000000000</v>
      </c>
      <c r="E131" s="5">
        <v>1.0500000000000001E+24</v>
      </c>
      <c r="F131" s="2" t="s">
        <v>455</v>
      </c>
      <c r="G131" s="4">
        <v>4.9331624180711919E-4</v>
      </c>
      <c r="H131" s="4">
        <v>0.96926976900467199</v>
      </c>
    </row>
    <row r="132" spans="1:8" ht="23.35" customHeight="1">
      <c r="A132" s="2">
        <v>128</v>
      </c>
      <c r="B132" s="2" t="s">
        <v>66</v>
      </c>
      <c r="C132" s="9">
        <v>44553</v>
      </c>
      <c r="D132" s="5">
        <v>260000000000</v>
      </c>
      <c r="E132" s="5">
        <v>1.0421E+24</v>
      </c>
      <c r="F132" s="2" t="s">
        <v>455</v>
      </c>
      <c r="G132" s="4">
        <v>4.8960462436876083E-4</v>
      </c>
      <c r="H132" s="4">
        <v>0.96975937362904074</v>
      </c>
    </row>
    <row r="133" spans="1:8" ht="23.35" customHeight="1">
      <c r="A133" s="2">
        <v>129</v>
      </c>
      <c r="B133" s="2" t="s">
        <v>110</v>
      </c>
      <c r="C133" s="9">
        <v>45419</v>
      </c>
      <c r="D133" s="5">
        <v>236000000000</v>
      </c>
      <c r="E133" s="5">
        <v>1.02E+24</v>
      </c>
      <c r="F133" s="2" t="s">
        <v>455</v>
      </c>
      <c r="G133" s="4">
        <v>4.7922149204120146E-4</v>
      </c>
      <c r="H133" s="4">
        <v>0.97023859512108201</v>
      </c>
    </row>
    <row r="134" spans="1:8" ht="23.35" customHeight="1">
      <c r="A134" s="2">
        <v>130</v>
      </c>
      <c r="B134" s="2" t="s">
        <v>76</v>
      </c>
      <c r="C134" s="9">
        <v>45175</v>
      </c>
      <c r="D134" s="5">
        <v>70000000000</v>
      </c>
      <c r="E134" s="5">
        <v>1.02E+24</v>
      </c>
      <c r="F134" s="2" t="s">
        <v>455</v>
      </c>
      <c r="G134" s="4">
        <v>4.7922149204120146E-4</v>
      </c>
      <c r="H134" s="4">
        <v>0.97071781661312329</v>
      </c>
    </row>
    <row r="135" spans="1:8" ht="23.35" customHeight="1">
      <c r="A135" s="2">
        <v>131</v>
      </c>
      <c r="B135" s="2" t="s">
        <v>259</v>
      </c>
      <c r="C135" s="9">
        <v>45100</v>
      </c>
      <c r="D135" s="5"/>
      <c r="E135" s="5">
        <v>1.0001000000000001E+24</v>
      </c>
      <c r="F135" s="2" t="s">
        <v>454</v>
      </c>
      <c r="G135" s="4">
        <v>4.6987197469647611E-4</v>
      </c>
      <c r="H135" s="4">
        <v>0.97118768858781968</v>
      </c>
    </row>
    <row r="136" spans="1:8" ht="23.35" customHeight="1">
      <c r="A136" s="2">
        <v>132</v>
      </c>
      <c r="B136" s="2" t="s">
        <v>72</v>
      </c>
      <c r="C136" s="9">
        <v>45113</v>
      </c>
      <c r="D136" s="5">
        <v>104000000000</v>
      </c>
      <c r="E136" s="5">
        <v>9.984E+23</v>
      </c>
      <c r="F136" s="2" t="s">
        <v>455</v>
      </c>
      <c r="G136" s="4">
        <v>4.6907327220974072E-4</v>
      </c>
      <c r="H136" s="4">
        <v>0.97165676186002936</v>
      </c>
    </row>
    <row r="137" spans="1:8" ht="23.35" customHeight="1">
      <c r="A137" s="2">
        <v>133</v>
      </c>
      <c r="B137" s="2" t="s">
        <v>149</v>
      </c>
      <c r="C137" s="9">
        <v>45707</v>
      </c>
      <c r="D137" s="5">
        <v>7000000000</v>
      </c>
      <c r="E137" s="5">
        <v>9.9407999999999999E+23</v>
      </c>
      <c r="F137" s="2" t="s">
        <v>455</v>
      </c>
      <c r="G137" s="4">
        <v>4.6704362824344858E-4</v>
      </c>
      <c r="H137" s="4">
        <v>0.97212380548827282</v>
      </c>
    </row>
    <row r="138" spans="1:8" ht="23.35" customHeight="1">
      <c r="A138" s="2">
        <v>134</v>
      </c>
      <c r="B138" s="2" t="s">
        <v>107</v>
      </c>
      <c r="C138" s="9">
        <v>45345</v>
      </c>
      <c r="D138" s="5">
        <v>530000000000</v>
      </c>
      <c r="E138" s="5">
        <v>9.6910000000000995E+23</v>
      </c>
      <c r="F138" s="2" t="s">
        <v>455</v>
      </c>
      <c r="G138" s="4">
        <v>4.553073999383658E-4</v>
      </c>
      <c r="H138" s="4">
        <v>0.97257911288821131</v>
      </c>
    </row>
    <row r="139" spans="1:8" ht="23.35" customHeight="1">
      <c r="A139" s="2">
        <v>135</v>
      </c>
      <c r="B139" s="2" t="s">
        <v>123</v>
      </c>
      <c r="C139" s="9">
        <v>45509</v>
      </c>
      <c r="D139" s="5">
        <v>70000000000</v>
      </c>
      <c r="E139" s="5">
        <v>9.6540000000000004E+23</v>
      </c>
      <c r="F139" s="2" t="s">
        <v>459</v>
      </c>
      <c r="G139" s="4">
        <v>4.5356904746723128E-4</v>
      </c>
      <c r="H139" s="4">
        <v>0.97303268193567849</v>
      </c>
    </row>
    <row r="140" spans="1:8" ht="23.35" customHeight="1">
      <c r="A140" s="2">
        <v>136</v>
      </c>
      <c r="B140" s="2" t="s">
        <v>321</v>
      </c>
      <c r="C140" s="9">
        <v>45638</v>
      </c>
      <c r="D140" s="5">
        <v>14000000000</v>
      </c>
      <c r="E140" s="5">
        <v>9.3202015000000002E+23</v>
      </c>
      <c r="F140" s="2" t="s">
        <v>454</v>
      </c>
      <c r="G140" s="4">
        <v>4.378863597014357E-4</v>
      </c>
      <c r="H140" s="4">
        <v>0.97347056829537981</v>
      </c>
    </row>
    <row r="141" spans="1:8" ht="23.35" customHeight="1">
      <c r="A141" s="2">
        <v>137</v>
      </c>
      <c r="B141" s="2" t="s">
        <v>192</v>
      </c>
      <c r="C141" s="9">
        <v>45884</v>
      </c>
      <c r="D141" s="5">
        <v>9000000000</v>
      </c>
      <c r="E141" s="5">
        <v>9.1799999999999997E+23</v>
      </c>
      <c r="F141" s="2" t="s">
        <v>455</v>
      </c>
      <c r="G141" s="4">
        <v>4.3129934283708132E-4</v>
      </c>
      <c r="H141" s="4">
        <v>0.97390186763821684</v>
      </c>
    </row>
    <row r="142" spans="1:8" ht="23.35" customHeight="1">
      <c r="A142" s="2">
        <v>138</v>
      </c>
      <c r="B142" s="2" t="s">
        <v>158</v>
      </c>
      <c r="C142" s="9">
        <v>45758</v>
      </c>
      <c r="D142" s="5">
        <v>7000000000</v>
      </c>
      <c r="E142" s="5">
        <v>9.0007697000000006E+23</v>
      </c>
      <c r="F142" s="2" t="s">
        <v>455</v>
      </c>
      <c r="G142" s="4">
        <v>4.2287865540718015E-4</v>
      </c>
      <c r="H142" s="4">
        <v>0.97432474629362409</v>
      </c>
    </row>
    <row r="143" spans="1:8" ht="23.35" customHeight="1">
      <c r="A143" s="2">
        <v>139</v>
      </c>
      <c r="B143" s="2" t="s">
        <v>229</v>
      </c>
      <c r="C143" s="9">
        <v>45955</v>
      </c>
      <c r="D143" s="5">
        <v>12000000000</v>
      </c>
      <c r="E143" s="5">
        <v>8.6400000000000007E+23</v>
      </c>
      <c r="F143" s="2" t="s">
        <v>464</v>
      </c>
      <c r="G143" s="4">
        <v>4.0592879325842949E-4</v>
      </c>
      <c r="H143" s="4">
        <v>0.97473067508688238</v>
      </c>
    </row>
    <row r="144" spans="1:8" ht="23.35" customHeight="1">
      <c r="A144" s="2">
        <v>140</v>
      </c>
      <c r="B144" s="2" t="s">
        <v>163</v>
      </c>
      <c r="C144" s="9">
        <v>45776</v>
      </c>
      <c r="D144" s="5">
        <v>4000000000</v>
      </c>
      <c r="E144" s="5">
        <v>8.6400000000000007E+23</v>
      </c>
      <c r="F144" s="2" t="s">
        <v>455</v>
      </c>
      <c r="G144" s="4">
        <v>4.0592879325842949E-4</v>
      </c>
      <c r="H144" s="4">
        <v>0.97513660388014078</v>
      </c>
    </row>
    <row r="145" spans="1:8" ht="23.35" customHeight="1">
      <c r="A145" s="2">
        <v>141</v>
      </c>
      <c r="B145" s="2" t="s">
        <v>233</v>
      </c>
      <c r="C145" s="9">
        <v>44480</v>
      </c>
      <c r="D145" s="5">
        <v>530000000000</v>
      </c>
      <c r="E145" s="5">
        <v>8.5860000000000002E+23</v>
      </c>
      <c r="F145" s="2" t="s">
        <v>454</v>
      </c>
      <c r="G145" s="4">
        <v>4.0339173830056431E-4</v>
      </c>
      <c r="H145" s="4">
        <v>0.9755399956184414</v>
      </c>
    </row>
    <row r="146" spans="1:8" ht="23.35" customHeight="1">
      <c r="A146" s="2">
        <v>142</v>
      </c>
      <c r="B146" s="2" t="s">
        <v>73</v>
      </c>
      <c r="C146" s="9">
        <v>45147</v>
      </c>
      <c r="D146" s="5">
        <v>53000000000</v>
      </c>
      <c r="E146" s="5">
        <v>8.2679999999999999E+23</v>
      </c>
      <c r="F146" s="2" t="s">
        <v>455</v>
      </c>
      <c r="G146" s="4">
        <v>3.8845130354869155E-4</v>
      </c>
      <c r="H146" s="4">
        <v>0.97592844692198999</v>
      </c>
    </row>
    <row r="147" spans="1:8" ht="23.35" customHeight="1">
      <c r="A147" s="2">
        <v>143</v>
      </c>
      <c r="B147" s="2" t="s">
        <v>130</v>
      </c>
      <c r="C147" s="9">
        <v>45554</v>
      </c>
      <c r="D147" s="5">
        <v>7610000000</v>
      </c>
      <c r="E147" s="5">
        <v>8.2188000000000002E+23</v>
      </c>
      <c r="F147" s="2" t="s">
        <v>455</v>
      </c>
      <c r="G147" s="4">
        <v>3.8613976458708106E-4</v>
      </c>
      <c r="H147" s="4">
        <v>0.97631458668657722</v>
      </c>
    </row>
    <row r="148" spans="1:8" ht="23.35" customHeight="1">
      <c r="A148" s="2">
        <v>144</v>
      </c>
      <c r="B148" s="2" t="s">
        <v>160</v>
      </c>
      <c r="C148" s="9">
        <v>45761</v>
      </c>
      <c r="D148" s="5">
        <v>9000000000</v>
      </c>
      <c r="E148" s="5">
        <v>8.1000000000000003E+23</v>
      </c>
      <c r="F148" s="2" t="s">
        <v>455</v>
      </c>
      <c r="G148" s="4">
        <v>3.8055824367977766E-4</v>
      </c>
      <c r="H148" s="4">
        <v>0.97669514493025689</v>
      </c>
    </row>
    <row r="149" spans="1:8" ht="23.35" customHeight="1">
      <c r="A149" s="2">
        <v>145</v>
      </c>
      <c r="B149" s="2" t="s">
        <v>261</v>
      </c>
      <c r="C149" s="9">
        <v>45125</v>
      </c>
      <c r="D149" s="5">
        <v>70000000000</v>
      </c>
      <c r="E149" s="5">
        <v>8.1000000000000003E+23</v>
      </c>
      <c r="F149" s="2" t="s">
        <v>454</v>
      </c>
      <c r="G149" s="4">
        <v>3.8055824367977766E-4</v>
      </c>
      <c r="H149" s="4">
        <v>0.97707570317393666</v>
      </c>
    </row>
    <row r="150" spans="1:8" ht="23.35" customHeight="1">
      <c r="A150" s="2">
        <v>146</v>
      </c>
      <c r="B150" s="2" t="s">
        <v>100</v>
      </c>
      <c r="C150" s="9">
        <v>45296</v>
      </c>
      <c r="D150" s="5">
        <v>67000000000</v>
      </c>
      <c r="E150" s="5">
        <v>8.0400000000000003E+23</v>
      </c>
      <c r="F150" s="2" t="s">
        <v>455</v>
      </c>
      <c r="G150" s="4">
        <v>3.7773929372659408E-4</v>
      </c>
      <c r="H150" s="4">
        <v>0.9774534424676633</v>
      </c>
    </row>
    <row r="151" spans="1:8" ht="23.35" customHeight="1">
      <c r="A151" s="2">
        <v>147</v>
      </c>
      <c r="B151" s="2" t="s">
        <v>94</v>
      </c>
      <c r="C151" s="9">
        <v>45232</v>
      </c>
      <c r="D151" s="5">
        <v>130000000000</v>
      </c>
      <c r="E151" s="5">
        <v>7.8000000000000001E+23</v>
      </c>
      <c r="F151" s="2" t="s">
        <v>455</v>
      </c>
      <c r="G151" s="4">
        <v>3.6646349391385993E-4</v>
      </c>
      <c r="H151" s="4">
        <v>0.9778199059615772</v>
      </c>
    </row>
    <row r="152" spans="1:8" ht="23.35" customHeight="1">
      <c r="A152" s="2">
        <v>148</v>
      </c>
      <c r="B152" s="2" t="s">
        <v>217</v>
      </c>
      <c r="C152" s="9">
        <v>45271</v>
      </c>
      <c r="D152" s="5">
        <v>46700000000</v>
      </c>
      <c r="E152" s="5">
        <v>7.74E+23</v>
      </c>
      <c r="F152" s="2" t="s">
        <v>456</v>
      </c>
      <c r="G152" s="4">
        <v>3.6364454396067641E-4</v>
      </c>
      <c r="H152" s="4">
        <v>0.97818355050553785</v>
      </c>
    </row>
    <row r="153" spans="1:8" ht="23.35" customHeight="1">
      <c r="A153" s="2">
        <v>149</v>
      </c>
      <c r="B153" s="2" t="s">
        <v>277</v>
      </c>
      <c r="C153" s="9">
        <v>45349</v>
      </c>
      <c r="D153" s="5">
        <v>15000000000</v>
      </c>
      <c r="E153" s="5">
        <v>7.5005116000000004E+23</v>
      </c>
      <c r="F153" s="2" t="s">
        <v>454</v>
      </c>
      <c r="G153" s="4">
        <v>3.5239278039454308E-4</v>
      </c>
      <c r="H153" s="4">
        <v>0.97853594328593252</v>
      </c>
    </row>
    <row r="154" spans="1:8" ht="23.35" customHeight="1">
      <c r="A154" s="2">
        <v>150</v>
      </c>
      <c r="B154" s="2" t="s">
        <v>225</v>
      </c>
      <c r="C154" s="9">
        <v>45713</v>
      </c>
      <c r="D154" s="5">
        <v>8000000000</v>
      </c>
      <c r="E154" s="5">
        <v>7.3535999999999997E+23</v>
      </c>
      <c r="F154" s="2" t="s">
        <v>465</v>
      </c>
      <c r="G154" s="4">
        <v>3.4549050626217438E-4</v>
      </c>
      <c r="H154" s="4">
        <v>0.97888143379219472</v>
      </c>
    </row>
    <row r="155" spans="1:8" ht="23.35" customHeight="1">
      <c r="A155" s="2">
        <v>151</v>
      </c>
      <c r="B155" s="2" t="s">
        <v>114</v>
      </c>
      <c r="C155" s="9">
        <v>45425</v>
      </c>
      <c r="D155" s="5">
        <v>34000000000</v>
      </c>
      <c r="E155" s="5">
        <v>7.3439999999999995E+23</v>
      </c>
      <c r="F155" s="2" t="s">
        <v>455</v>
      </c>
      <c r="G155" s="4">
        <v>3.4503947426966505E-4</v>
      </c>
      <c r="H155" s="4">
        <v>0.97922647326646428</v>
      </c>
    </row>
    <row r="156" spans="1:8" ht="23.35" customHeight="1">
      <c r="A156" s="2">
        <v>152</v>
      </c>
      <c r="B156" s="2" t="s">
        <v>199</v>
      </c>
      <c r="C156" s="9">
        <v>45910</v>
      </c>
      <c r="D156" s="5">
        <v>100000000000</v>
      </c>
      <c r="E156" s="5">
        <v>7.3199999999999997E+23</v>
      </c>
      <c r="F156" s="2" t="s">
        <v>455</v>
      </c>
      <c r="G156" s="4">
        <v>3.4391189428839162E-4</v>
      </c>
      <c r="H156" s="4">
        <v>0.97957038516075268</v>
      </c>
    </row>
    <row r="157" spans="1:8" ht="23.35" customHeight="1">
      <c r="A157" s="2">
        <v>153</v>
      </c>
      <c r="B157" s="2" t="s">
        <v>340</v>
      </c>
      <c r="C157" s="9">
        <v>45761</v>
      </c>
      <c r="D157" s="5">
        <v>8000000000</v>
      </c>
      <c r="E157" s="5">
        <v>7.1999999999999997E+23</v>
      </c>
      <c r="F157" s="2" t="s">
        <v>454</v>
      </c>
      <c r="G157" s="4">
        <v>3.3827399438202452E-4</v>
      </c>
      <c r="H157" s="4">
        <v>0.9799086591551347</v>
      </c>
    </row>
    <row r="158" spans="1:8" ht="23.35" customHeight="1">
      <c r="A158" s="2">
        <v>154</v>
      </c>
      <c r="B158" s="2" t="s">
        <v>287</v>
      </c>
      <c r="C158" s="9">
        <v>45400</v>
      </c>
      <c r="D158" s="5">
        <v>8000000000</v>
      </c>
      <c r="E158" s="5">
        <v>7.1999999999999997E+23</v>
      </c>
      <c r="F158" s="2" t="s">
        <v>454</v>
      </c>
      <c r="G158" s="4">
        <v>3.3827399438202452E-4</v>
      </c>
      <c r="H158" s="4">
        <v>0.98024693314951672</v>
      </c>
    </row>
    <row r="159" spans="1:8" ht="23.35" customHeight="1">
      <c r="A159" s="2">
        <v>155</v>
      </c>
      <c r="B159" s="2" t="s">
        <v>165</v>
      </c>
      <c r="C159" s="9">
        <v>45776</v>
      </c>
      <c r="D159" s="5">
        <v>30000000000</v>
      </c>
      <c r="E159" s="5">
        <v>6.4800000000000005E+23</v>
      </c>
      <c r="F159" s="2" t="s">
        <v>455</v>
      </c>
      <c r="G159" s="4">
        <v>3.0444659494382212E-4</v>
      </c>
      <c r="H159" s="4">
        <v>0.98055137974446049</v>
      </c>
    </row>
    <row r="160" spans="1:8" ht="23.35" customHeight="1">
      <c r="A160" s="2">
        <v>156</v>
      </c>
      <c r="B160" s="2" t="s">
        <v>209</v>
      </c>
      <c r="C160" s="9">
        <v>44538</v>
      </c>
      <c r="D160" s="5">
        <v>280000000000</v>
      </c>
      <c r="E160" s="5">
        <v>6.3100000000000006E+23</v>
      </c>
      <c r="F160" s="2" t="s">
        <v>466</v>
      </c>
      <c r="G160" s="4">
        <v>2.9645957007646878E-4</v>
      </c>
      <c r="H160" s="4">
        <v>0.98084783931453701</v>
      </c>
    </row>
    <row r="161" spans="1:8" ht="23.35" customHeight="1">
      <c r="A161" s="2">
        <v>157</v>
      </c>
      <c r="B161" s="2" t="s">
        <v>284</v>
      </c>
      <c r="C161" s="9">
        <v>45397</v>
      </c>
      <c r="D161" s="5">
        <v>21000000000</v>
      </c>
      <c r="E161" s="5">
        <v>6.3000000000000004E+23</v>
      </c>
      <c r="F161" s="2" t="s">
        <v>454</v>
      </c>
      <c r="G161" s="4">
        <v>2.9598974508427149E-4</v>
      </c>
      <c r="H161" s="4">
        <v>0.98114382905962128</v>
      </c>
    </row>
    <row r="162" spans="1:8" ht="23.35" customHeight="1">
      <c r="A162" s="2">
        <v>158</v>
      </c>
      <c r="B162" s="2" t="s">
        <v>148</v>
      </c>
      <c r="C162" s="9">
        <v>45706</v>
      </c>
      <c r="D162" s="5">
        <v>130000000000</v>
      </c>
      <c r="E162" s="5">
        <v>6.2400000000000003E+23</v>
      </c>
      <c r="F162" s="2" t="s">
        <v>455</v>
      </c>
      <c r="G162" s="4">
        <v>2.9317079513108797E-4</v>
      </c>
      <c r="H162" s="4">
        <v>0.9814369998547523</v>
      </c>
    </row>
    <row r="163" spans="1:8" ht="23.35" customHeight="1">
      <c r="A163" s="2">
        <v>159</v>
      </c>
      <c r="B163" s="2" t="s">
        <v>71</v>
      </c>
      <c r="C163" s="9">
        <v>45113</v>
      </c>
      <c r="D163" s="5">
        <v>100000000000</v>
      </c>
      <c r="E163" s="5">
        <v>6.1999999999999994E+23</v>
      </c>
      <c r="F163" s="2" t="s">
        <v>455</v>
      </c>
      <c r="G163" s="4">
        <v>2.9129149516229891E-4</v>
      </c>
      <c r="H163" s="4">
        <v>0.98172829134991468</v>
      </c>
    </row>
    <row r="164" spans="1:8" ht="23.35" customHeight="1">
      <c r="A164" s="2">
        <v>160</v>
      </c>
      <c r="B164" s="2" t="s">
        <v>343</v>
      </c>
      <c r="C164" s="9">
        <v>45796</v>
      </c>
      <c r="D164" s="5">
        <v>8000000000</v>
      </c>
      <c r="E164" s="5">
        <v>6.1200000000000003E+23</v>
      </c>
      <c r="F164" s="2" t="s">
        <v>454</v>
      </c>
      <c r="G164" s="4">
        <v>2.8753289522472086E-4</v>
      </c>
      <c r="H164" s="4">
        <v>0.98201582424513933</v>
      </c>
    </row>
    <row r="165" spans="1:8" ht="23.35" customHeight="1">
      <c r="A165" s="2">
        <v>161</v>
      </c>
      <c r="B165" s="2" t="s">
        <v>90</v>
      </c>
      <c r="C165" s="9">
        <v>45232</v>
      </c>
      <c r="D165" s="5">
        <v>34000000000</v>
      </c>
      <c r="E165" s="5">
        <v>6.0999999999999998E+23</v>
      </c>
      <c r="F165" s="2" t="s">
        <v>455</v>
      </c>
      <c r="G165" s="4">
        <v>2.8659324524032634E-4</v>
      </c>
      <c r="H165" s="4">
        <v>0.98230241749037972</v>
      </c>
    </row>
    <row r="166" spans="1:8" ht="23.35" customHeight="1">
      <c r="A166" s="2">
        <v>162</v>
      </c>
      <c r="B166" s="2" t="s">
        <v>128</v>
      </c>
      <c r="C166" s="9">
        <v>45553</v>
      </c>
      <c r="D166" s="5">
        <v>72000000000</v>
      </c>
      <c r="E166" s="5">
        <v>6.0479999999999997E+23</v>
      </c>
      <c r="F166" s="2" t="s">
        <v>455</v>
      </c>
      <c r="G166" s="4">
        <v>2.841501552809006E-4</v>
      </c>
      <c r="H166" s="4">
        <v>0.98258656764566055</v>
      </c>
    </row>
    <row r="167" spans="1:8" ht="23.35" customHeight="1">
      <c r="A167" s="2">
        <v>163</v>
      </c>
      <c r="B167" s="2" t="s">
        <v>143</v>
      </c>
      <c r="C167" s="9">
        <v>45643</v>
      </c>
      <c r="D167" s="5">
        <v>7000000000</v>
      </c>
      <c r="E167" s="5">
        <v>5.8800000000000001E+23</v>
      </c>
      <c r="F167" s="2" t="s">
        <v>459</v>
      </c>
      <c r="G167" s="4">
        <v>2.7625709541198671E-4</v>
      </c>
      <c r="H167" s="4">
        <v>0.98286282474107256</v>
      </c>
    </row>
    <row r="168" spans="1:8" ht="23.35" customHeight="1">
      <c r="A168" s="2">
        <v>164</v>
      </c>
      <c r="B168" s="2" t="s">
        <v>322</v>
      </c>
      <c r="C168" s="9">
        <v>45644</v>
      </c>
      <c r="D168" s="5">
        <v>8100000000</v>
      </c>
      <c r="E168" s="5">
        <v>5.8319999999999999E+23</v>
      </c>
      <c r="F168" s="2" t="s">
        <v>454</v>
      </c>
      <c r="G168" s="4">
        <v>2.7400193544943987E-4</v>
      </c>
      <c r="H168" s="4">
        <v>0.98313682667652202</v>
      </c>
    </row>
    <row r="169" spans="1:8" ht="23.35" customHeight="1">
      <c r="A169" s="2">
        <v>165</v>
      </c>
      <c r="B169" s="2" t="s">
        <v>317</v>
      </c>
      <c r="C169" s="9">
        <v>45586</v>
      </c>
      <c r="D169" s="5">
        <v>8100000000</v>
      </c>
      <c r="E169" s="5">
        <v>5.8319999999999999E+23</v>
      </c>
      <c r="F169" s="2" t="s">
        <v>454</v>
      </c>
      <c r="G169" s="4">
        <v>2.7400193544943987E-4</v>
      </c>
      <c r="H169" s="4">
        <v>0.98341082861197149</v>
      </c>
    </row>
    <row r="170" spans="1:8" ht="23.35" customHeight="1">
      <c r="A170" s="2">
        <v>166</v>
      </c>
      <c r="B170" s="2" t="s">
        <v>313</v>
      </c>
      <c r="C170" s="9">
        <v>45559</v>
      </c>
      <c r="D170" s="5">
        <v>10600000000</v>
      </c>
      <c r="E170" s="5">
        <v>5.79E+23</v>
      </c>
      <c r="F170" s="2" t="s">
        <v>454</v>
      </c>
      <c r="G170" s="4">
        <v>2.7202867048221142E-4</v>
      </c>
      <c r="H170" s="4">
        <v>0.98368285728245364</v>
      </c>
    </row>
    <row r="171" spans="1:8" ht="23.35" customHeight="1">
      <c r="A171" s="2">
        <v>167</v>
      </c>
      <c r="B171" s="2" t="s">
        <v>211</v>
      </c>
      <c r="C171" s="9">
        <v>44649</v>
      </c>
      <c r="D171" s="5">
        <v>70000000000</v>
      </c>
      <c r="E171" s="5">
        <v>5.76E+23</v>
      </c>
      <c r="F171" s="2" t="s">
        <v>466</v>
      </c>
      <c r="G171" s="4">
        <v>2.7061919550561966E-4</v>
      </c>
      <c r="H171" s="4">
        <v>0.98395347647795928</v>
      </c>
    </row>
    <row r="172" spans="1:8" ht="23.35" customHeight="1">
      <c r="A172" s="2">
        <v>168</v>
      </c>
      <c r="B172" s="2" t="s">
        <v>243</v>
      </c>
      <c r="C172" s="9">
        <v>44721</v>
      </c>
      <c r="D172" s="5">
        <v>137000000000</v>
      </c>
      <c r="E172" s="5">
        <v>5.6000000000000003E+23</v>
      </c>
      <c r="F172" s="2" t="s">
        <v>454</v>
      </c>
      <c r="G172" s="4">
        <v>2.6310199563046356E-4</v>
      </c>
      <c r="H172" s="4">
        <v>0.98421657847358979</v>
      </c>
    </row>
    <row r="173" spans="1:8" ht="23.35" customHeight="1">
      <c r="A173" s="2">
        <v>169</v>
      </c>
      <c r="B173" s="2" t="s">
        <v>253</v>
      </c>
      <c r="C173" s="9">
        <v>44981</v>
      </c>
      <c r="D173" s="5">
        <v>65200000000</v>
      </c>
      <c r="E173" s="5">
        <v>5.5E+23</v>
      </c>
      <c r="F173" s="2" t="s">
        <v>454</v>
      </c>
      <c r="G173" s="4">
        <v>2.5840374570849098E-4</v>
      </c>
      <c r="H173" s="4">
        <v>0.98447498221929819</v>
      </c>
    </row>
    <row r="174" spans="1:8" ht="23.35" customHeight="1">
      <c r="A174" s="2">
        <v>170</v>
      </c>
      <c r="B174" s="2" t="s">
        <v>346</v>
      </c>
      <c r="C174" s="9">
        <v>45874</v>
      </c>
      <c r="D174" s="5">
        <v>20910000000</v>
      </c>
      <c r="E174" s="5">
        <v>5.4899999999999998E+23</v>
      </c>
      <c r="F174" s="2" t="s">
        <v>454</v>
      </c>
      <c r="G174" s="4">
        <v>2.5793392071629369E-4</v>
      </c>
      <c r="H174" s="4">
        <v>0.98473291614001446</v>
      </c>
    </row>
    <row r="175" spans="1:8" ht="23.35" customHeight="1">
      <c r="A175" s="2">
        <v>171</v>
      </c>
      <c r="B175" s="2" t="s">
        <v>264</v>
      </c>
      <c r="C175" s="9">
        <v>45152</v>
      </c>
      <c r="D175" s="5">
        <v>34000000000</v>
      </c>
      <c r="E175" s="5">
        <v>5.3000000000000001E+23</v>
      </c>
      <c r="F175" s="2" t="s">
        <v>454</v>
      </c>
      <c r="G175" s="4">
        <v>2.4900724586454588E-4</v>
      </c>
      <c r="H175" s="4">
        <v>0.98498192338587898</v>
      </c>
    </row>
    <row r="176" spans="1:8" ht="23.35" customHeight="1">
      <c r="A176" s="2">
        <v>172</v>
      </c>
      <c r="B176" s="2" t="s">
        <v>344</v>
      </c>
      <c r="C176" s="9">
        <v>45797</v>
      </c>
      <c r="D176" s="5">
        <v>7850000000</v>
      </c>
      <c r="E176" s="5">
        <v>5.1810000000000002E+23</v>
      </c>
      <c r="F176" s="2" t="s">
        <v>454</v>
      </c>
      <c r="G176" s="4">
        <v>2.434163284573985E-4</v>
      </c>
      <c r="H176" s="4">
        <v>0.98522533971433635</v>
      </c>
    </row>
    <row r="177" spans="1:8" ht="23.35" customHeight="1">
      <c r="A177" s="2">
        <v>173</v>
      </c>
      <c r="B177" s="2" t="s">
        <v>245</v>
      </c>
      <c r="C177" s="9">
        <v>44734</v>
      </c>
      <c r="D177" s="5">
        <v>20000000000</v>
      </c>
      <c r="E177" s="5">
        <v>5.09607936E+23</v>
      </c>
      <c r="F177" s="2" t="s">
        <v>454</v>
      </c>
      <c r="G177" s="4">
        <v>2.3942654455485991E-4</v>
      </c>
      <c r="H177" s="4">
        <v>0.98546476625889123</v>
      </c>
    </row>
    <row r="178" spans="1:8" ht="23.35" customHeight="1">
      <c r="A178" s="2">
        <v>174</v>
      </c>
      <c r="B178" s="2" t="s">
        <v>281</v>
      </c>
      <c r="C178" s="9">
        <v>45365</v>
      </c>
      <c r="D178" s="5">
        <v>30000000000</v>
      </c>
      <c r="E178" s="5">
        <v>4.86E+23</v>
      </c>
      <c r="F178" s="2" t="s">
        <v>454</v>
      </c>
      <c r="G178" s="4">
        <v>2.2833494620786658E-4</v>
      </c>
      <c r="H178" s="4">
        <v>0.98569310120509923</v>
      </c>
    </row>
    <row r="179" spans="1:8" ht="23.35" customHeight="1">
      <c r="A179" s="2">
        <v>175</v>
      </c>
      <c r="B179" s="2" t="s">
        <v>99</v>
      </c>
      <c r="C179" s="9">
        <v>45282</v>
      </c>
      <c r="D179" s="5">
        <v>30000000000</v>
      </c>
      <c r="E179" s="5">
        <v>4.77E+23</v>
      </c>
      <c r="F179" s="2" t="s">
        <v>455</v>
      </c>
      <c r="G179" s="4">
        <v>2.2410652127809126E-4</v>
      </c>
      <c r="H179" s="4">
        <v>0.98591720772637736</v>
      </c>
    </row>
    <row r="180" spans="1:8" ht="23.35" customHeight="1">
      <c r="A180" s="2">
        <v>176</v>
      </c>
      <c r="B180" s="2" t="s">
        <v>69</v>
      </c>
      <c r="C180" s="9">
        <v>45005</v>
      </c>
      <c r="D180" s="5">
        <v>1085000000000</v>
      </c>
      <c r="E180" s="5">
        <v>4.6699999999999997E+23</v>
      </c>
      <c r="F180" s="2" t="s">
        <v>455</v>
      </c>
      <c r="G180" s="4">
        <v>2.1940827135611868E-4</v>
      </c>
      <c r="H180" s="4">
        <v>0.9861366159977335</v>
      </c>
    </row>
    <row r="181" spans="1:8" ht="23.35" customHeight="1">
      <c r="A181" s="2">
        <v>177</v>
      </c>
      <c r="B181" s="2" t="s">
        <v>325</v>
      </c>
      <c r="C181" s="9">
        <v>45657</v>
      </c>
      <c r="D181" s="5">
        <v>13000000000</v>
      </c>
      <c r="E181" s="5">
        <v>4.6000000000000001E+23</v>
      </c>
      <c r="F181" s="2" t="s">
        <v>454</v>
      </c>
      <c r="G181" s="4">
        <v>2.1611949641073792E-4</v>
      </c>
      <c r="H181" s="4">
        <v>0.98635273549414415</v>
      </c>
    </row>
    <row r="182" spans="1:8" ht="23.35" customHeight="1">
      <c r="A182" s="2">
        <v>178</v>
      </c>
      <c r="B182" s="2" t="s">
        <v>310</v>
      </c>
      <c r="C182" s="9">
        <v>45502</v>
      </c>
      <c r="D182" s="5">
        <v>2730000000</v>
      </c>
      <c r="E182" s="5">
        <v>4.5125999999999998E+23</v>
      </c>
      <c r="F182" s="2" t="s">
        <v>454</v>
      </c>
      <c r="G182" s="4">
        <v>2.1201322597893388E-4</v>
      </c>
      <c r="H182" s="4">
        <v>0.98656474872012312</v>
      </c>
    </row>
    <row r="183" spans="1:8" ht="23.35" customHeight="1">
      <c r="A183" s="2">
        <v>179</v>
      </c>
      <c r="B183" s="2" t="s">
        <v>224</v>
      </c>
      <c r="C183" s="9">
        <v>45530</v>
      </c>
      <c r="D183" s="5">
        <v>7041544704</v>
      </c>
      <c r="E183" s="5">
        <v>4.4300000000000002E+23</v>
      </c>
      <c r="F183" s="2" t="s">
        <v>467</v>
      </c>
      <c r="G183" s="4">
        <v>2.0813247154338456E-4</v>
      </c>
      <c r="H183" s="4">
        <v>0.98677288119166651</v>
      </c>
    </row>
    <row r="184" spans="1:8" ht="23.35" customHeight="1">
      <c r="A184" s="2">
        <v>180</v>
      </c>
      <c r="B184" s="2" t="s">
        <v>226</v>
      </c>
      <c r="C184" s="9">
        <v>45770</v>
      </c>
      <c r="D184" s="5">
        <v>9000000000</v>
      </c>
      <c r="E184" s="5">
        <v>4.3599999999999999E+23</v>
      </c>
      <c r="F184" s="2" t="s">
        <v>468</v>
      </c>
      <c r="G184" s="4">
        <v>2.0484369659800374E-4</v>
      </c>
      <c r="H184" s="4">
        <v>0.98697772488826452</v>
      </c>
    </row>
    <row r="185" spans="1:8" ht="23.35" customHeight="1">
      <c r="A185" s="2">
        <v>181</v>
      </c>
      <c r="B185" s="2" t="s">
        <v>122</v>
      </c>
      <c r="C185" s="9">
        <v>45458</v>
      </c>
      <c r="D185" s="5">
        <v>38800000000</v>
      </c>
      <c r="E185" s="5">
        <v>4.3596130999999999E+23</v>
      </c>
      <c r="F185" s="2" t="s">
        <v>455</v>
      </c>
      <c r="G185" s="4">
        <v>2.0482551906905565E-4</v>
      </c>
      <c r="H185" s="4">
        <v>0.9871825504073336</v>
      </c>
    </row>
    <row r="186" spans="1:8" ht="23.35" customHeight="1">
      <c r="A186" s="2">
        <v>182</v>
      </c>
      <c r="B186" s="2" t="s">
        <v>301</v>
      </c>
      <c r="C186" s="9">
        <v>45467</v>
      </c>
      <c r="D186" s="5">
        <v>9000000000</v>
      </c>
      <c r="E186" s="5">
        <v>4.3200000000000003E+23</v>
      </c>
      <c r="F186" s="2" t="s">
        <v>454</v>
      </c>
      <c r="G186" s="4">
        <v>2.0296439662921475E-4</v>
      </c>
      <c r="H186" s="4">
        <v>0.98738551480396286</v>
      </c>
    </row>
    <row r="187" spans="1:8" ht="23.35" customHeight="1">
      <c r="A187" s="2">
        <v>183</v>
      </c>
      <c r="B187" s="2" t="s">
        <v>240</v>
      </c>
      <c r="C187" s="9">
        <v>44683</v>
      </c>
      <c r="D187" s="5">
        <v>175000000000</v>
      </c>
      <c r="E187" s="5">
        <v>4.2999999999999999E+23</v>
      </c>
      <c r="F187" s="2" t="s">
        <v>454</v>
      </c>
      <c r="G187" s="4">
        <v>2.0202474664482022E-4</v>
      </c>
      <c r="H187" s="4">
        <v>0.98758753955060763</v>
      </c>
    </row>
    <row r="188" spans="1:8" ht="23.35" customHeight="1">
      <c r="A188" s="2">
        <v>184</v>
      </c>
      <c r="B188" s="2" t="s">
        <v>141</v>
      </c>
      <c r="C188" s="9">
        <v>45635</v>
      </c>
      <c r="D188" s="5">
        <v>7800000000</v>
      </c>
      <c r="E188" s="5">
        <v>4.2099999999999998E+23</v>
      </c>
      <c r="F188" s="2" t="s">
        <v>461</v>
      </c>
      <c r="G188" s="4">
        <v>1.9779632171504491E-4</v>
      </c>
      <c r="H188" s="4">
        <v>0.98778533587232276</v>
      </c>
    </row>
    <row r="189" spans="1:8" ht="23.35" customHeight="1">
      <c r="A189" s="2">
        <v>185</v>
      </c>
      <c r="B189" s="2" t="s">
        <v>187</v>
      </c>
      <c r="C189" s="9">
        <v>45866</v>
      </c>
      <c r="D189" s="5">
        <v>14000000000</v>
      </c>
      <c r="E189" s="5">
        <v>4.2000000000000003E+23</v>
      </c>
      <c r="F189" s="2" t="s">
        <v>455</v>
      </c>
      <c r="G189" s="4">
        <v>1.9732649672284767E-4</v>
      </c>
      <c r="H189" s="4">
        <v>0.98798266236904564</v>
      </c>
    </row>
    <row r="190" spans="1:8" ht="23.35" customHeight="1">
      <c r="A190" s="2">
        <v>186</v>
      </c>
      <c r="B190" s="2" t="s">
        <v>92</v>
      </c>
      <c r="C190" s="9">
        <v>45232</v>
      </c>
      <c r="D190" s="5">
        <v>70000000000</v>
      </c>
      <c r="E190" s="5">
        <v>4.2000000000000003E+23</v>
      </c>
      <c r="F190" s="2" t="s">
        <v>455</v>
      </c>
      <c r="G190" s="4">
        <v>1.9732649672284767E-4</v>
      </c>
      <c r="H190" s="4">
        <v>0.98817998886576852</v>
      </c>
    </row>
    <row r="191" spans="1:8" ht="23.35" customHeight="1">
      <c r="A191" s="2">
        <v>187</v>
      </c>
      <c r="B191" s="2" t="s">
        <v>262</v>
      </c>
      <c r="C191" s="9">
        <v>45125</v>
      </c>
      <c r="D191" s="5">
        <v>34000000000</v>
      </c>
      <c r="E191" s="5">
        <v>4.0800000000000002E+23</v>
      </c>
      <c r="F191" s="2" t="s">
        <v>454</v>
      </c>
      <c r="G191" s="4">
        <v>1.9168859681648059E-4</v>
      </c>
      <c r="H191" s="4">
        <v>0.98837167746258492</v>
      </c>
    </row>
    <row r="192" spans="1:8" ht="23.35" customHeight="1">
      <c r="A192" s="2">
        <v>188</v>
      </c>
      <c r="B192" s="2" t="s">
        <v>117</v>
      </c>
      <c r="C192" s="9">
        <v>45440</v>
      </c>
      <c r="D192" s="5">
        <v>15800000000</v>
      </c>
      <c r="E192" s="5">
        <v>4.0500000000000001E+23</v>
      </c>
      <c r="F192" s="2" t="s">
        <v>455</v>
      </c>
      <c r="G192" s="4">
        <v>1.9027912183988883E-4</v>
      </c>
      <c r="H192" s="4">
        <v>0.98856195658442481</v>
      </c>
    </row>
    <row r="193" spans="1:8" ht="23.35" customHeight="1">
      <c r="A193" s="2">
        <v>189</v>
      </c>
      <c r="B193" s="2" t="s">
        <v>290</v>
      </c>
      <c r="C193" s="9">
        <v>45405</v>
      </c>
      <c r="D193" s="5">
        <v>14000000000</v>
      </c>
      <c r="E193" s="5">
        <v>4.032E+23</v>
      </c>
      <c r="F193" s="2" t="s">
        <v>454</v>
      </c>
      <c r="G193" s="4">
        <v>1.8943343685393375E-4</v>
      </c>
      <c r="H193" s="4">
        <v>0.98875139002127876</v>
      </c>
    </row>
    <row r="194" spans="1:8" ht="23.35" customHeight="1">
      <c r="A194" s="2">
        <v>190</v>
      </c>
      <c r="B194" s="2" t="s">
        <v>124</v>
      </c>
      <c r="C194" s="9">
        <v>45511</v>
      </c>
      <c r="D194" s="5">
        <v>7820000000</v>
      </c>
      <c r="E194" s="5">
        <v>3.9999999999999997E+23</v>
      </c>
      <c r="F194" s="2" t="s">
        <v>461</v>
      </c>
      <c r="G194" s="4">
        <v>1.8792999687890251E-4</v>
      </c>
      <c r="H194" s="4">
        <v>0.98893932001815765</v>
      </c>
    </row>
    <row r="195" spans="1:8" ht="23.35" customHeight="1">
      <c r="A195" s="2">
        <v>191</v>
      </c>
      <c r="B195" s="2" t="s">
        <v>102</v>
      </c>
      <c r="C195" s="9">
        <v>45316</v>
      </c>
      <c r="D195" s="5">
        <v>33000000000</v>
      </c>
      <c r="E195" s="5">
        <v>3.9600000000000001E+23</v>
      </c>
      <c r="F195" s="2" t="s">
        <v>455</v>
      </c>
      <c r="G195" s="4">
        <v>1.8605069691011352E-4</v>
      </c>
      <c r="H195" s="4">
        <v>0.98912537071506779</v>
      </c>
    </row>
    <row r="196" spans="1:8" ht="23.35" customHeight="1">
      <c r="A196" s="2">
        <v>192</v>
      </c>
      <c r="B196" s="2" t="s">
        <v>125</v>
      </c>
      <c r="C196" s="9">
        <v>45516</v>
      </c>
      <c r="D196" s="5">
        <v>7000000000</v>
      </c>
      <c r="E196" s="5">
        <v>3.9391101E+23</v>
      </c>
      <c r="F196" s="2" t="s">
        <v>459</v>
      </c>
      <c r="G196" s="4">
        <v>1.8506923719966337E-4</v>
      </c>
      <c r="H196" s="4">
        <v>0.98931043995226742</v>
      </c>
    </row>
    <row r="197" spans="1:8" ht="23.35" customHeight="1">
      <c r="A197" s="2">
        <v>193</v>
      </c>
      <c r="B197" s="2" t="s">
        <v>279</v>
      </c>
      <c r="C197" s="9">
        <v>45351</v>
      </c>
      <c r="D197" s="5">
        <v>15000000000</v>
      </c>
      <c r="E197" s="5">
        <v>3.87E+23</v>
      </c>
      <c r="F197" s="2" t="s">
        <v>454</v>
      </c>
      <c r="G197" s="4">
        <v>1.818222719803382E-4</v>
      </c>
      <c r="H197" s="4">
        <v>0.98949226222424769</v>
      </c>
    </row>
    <row r="198" spans="1:8" ht="23.35" customHeight="1">
      <c r="A198" s="2">
        <v>194</v>
      </c>
      <c r="B198" s="2" t="s">
        <v>293</v>
      </c>
      <c r="C198" s="9">
        <v>45412</v>
      </c>
      <c r="D198" s="5">
        <v>6700000000</v>
      </c>
      <c r="E198" s="5">
        <v>3.8410919999999999E+23</v>
      </c>
      <c r="F198" s="2" t="s">
        <v>462</v>
      </c>
      <c r="G198" s="4">
        <v>1.8046410189289438E-4</v>
      </c>
      <c r="H198" s="4">
        <v>0.98967272632614056</v>
      </c>
    </row>
    <row r="199" spans="1:8" ht="23.35" customHeight="1">
      <c r="A199" s="2">
        <v>195</v>
      </c>
      <c r="B199" s="2" t="s">
        <v>292</v>
      </c>
      <c r="C199" s="9">
        <v>45406</v>
      </c>
      <c r="D199" s="5">
        <v>480000000000</v>
      </c>
      <c r="E199" s="5">
        <v>3.8347175E+23</v>
      </c>
      <c r="F199" s="2" t="s">
        <v>454</v>
      </c>
      <c r="G199" s="4">
        <v>1.8016461195161822E-4</v>
      </c>
      <c r="H199" s="4">
        <v>0.98985289093809214</v>
      </c>
    </row>
    <row r="200" spans="1:8" ht="23.35" customHeight="1">
      <c r="A200" s="2">
        <v>196</v>
      </c>
      <c r="B200" s="2" t="s">
        <v>120</v>
      </c>
      <c r="C200" s="9">
        <v>45450</v>
      </c>
      <c r="D200" s="5">
        <v>57000000000</v>
      </c>
      <c r="E200" s="5">
        <v>3.7800000000001E+23</v>
      </c>
      <c r="F200" s="2" t="s">
        <v>455</v>
      </c>
      <c r="G200" s="4">
        <v>1.7759384705056758E-4</v>
      </c>
      <c r="H200" s="4">
        <v>0.99003048478514277</v>
      </c>
    </row>
    <row r="201" spans="1:8" ht="23.35" customHeight="1">
      <c r="A201" s="2">
        <v>197</v>
      </c>
      <c r="B201" s="2" t="s">
        <v>61</v>
      </c>
      <c r="C201" s="9">
        <v>44419</v>
      </c>
      <c r="D201" s="5">
        <v>178000000000</v>
      </c>
      <c r="E201" s="5">
        <v>3.7000000000000001E+23</v>
      </c>
      <c r="F201" s="2" t="s">
        <v>469</v>
      </c>
      <c r="G201" s="4">
        <v>1.7383524711298484E-4</v>
      </c>
      <c r="H201" s="4">
        <v>0.99020432003225578</v>
      </c>
    </row>
    <row r="202" spans="1:8" ht="23.35" customHeight="1">
      <c r="A202" s="2">
        <v>198</v>
      </c>
      <c r="B202" s="2" t="s">
        <v>168</v>
      </c>
      <c r="C202" s="9">
        <v>45776</v>
      </c>
      <c r="D202" s="5">
        <v>1700000000</v>
      </c>
      <c r="E202" s="5">
        <v>3.6719999999999997E+23</v>
      </c>
      <c r="F202" s="2" t="s">
        <v>455</v>
      </c>
      <c r="G202" s="4">
        <v>1.7251973713483252E-4</v>
      </c>
      <c r="H202" s="4">
        <v>0.9903768397693905</v>
      </c>
    </row>
    <row r="203" spans="1:8" ht="23.35" customHeight="1">
      <c r="A203" s="2">
        <v>199</v>
      </c>
      <c r="B203" s="2" t="s">
        <v>247</v>
      </c>
      <c r="C203" s="9">
        <v>44753</v>
      </c>
      <c r="D203" s="5">
        <v>176247271424</v>
      </c>
      <c r="E203" s="5">
        <v>3.6566399999999997E+23</v>
      </c>
      <c r="F203" s="2" t="s">
        <v>462</v>
      </c>
      <c r="G203" s="4">
        <v>1.7179808594681753E-4</v>
      </c>
      <c r="H203" s="4">
        <v>0.99054863785533731</v>
      </c>
    </row>
    <row r="204" spans="1:8" ht="23.35" customHeight="1">
      <c r="A204" s="2">
        <v>200</v>
      </c>
      <c r="B204" s="2" t="s">
        <v>234</v>
      </c>
      <c r="C204" s="9">
        <v>44543</v>
      </c>
      <c r="D204" s="5">
        <v>1200000000000</v>
      </c>
      <c r="E204" s="5">
        <v>3.6363112434E+23</v>
      </c>
      <c r="F204" s="2" t="s">
        <v>454</v>
      </c>
      <c r="G204" s="4">
        <v>1.7084299015572004E-4</v>
      </c>
      <c r="H204" s="4">
        <v>0.99071948084549311</v>
      </c>
    </row>
    <row r="205" spans="1:8" ht="23.35" customHeight="1">
      <c r="A205" s="2">
        <v>201</v>
      </c>
      <c r="B205" s="2" t="s">
        <v>111</v>
      </c>
      <c r="C205" s="9">
        <v>45421</v>
      </c>
      <c r="D205" s="5">
        <v>11000000000</v>
      </c>
      <c r="E205" s="5">
        <v>3.5999999999999998E+23</v>
      </c>
      <c r="F205" s="2" t="s">
        <v>459</v>
      </c>
      <c r="G205" s="4">
        <v>1.6913699719101226E-4</v>
      </c>
      <c r="H205" s="4">
        <v>0.99088861784268412</v>
      </c>
    </row>
    <row r="206" spans="1:8" ht="23.35" customHeight="1">
      <c r="A206" s="2">
        <v>202</v>
      </c>
      <c r="B206" s="2" t="s">
        <v>235</v>
      </c>
      <c r="C206" s="9">
        <v>44602</v>
      </c>
      <c r="D206" s="5">
        <v>137000000000</v>
      </c>
      <c r="E206" s="5">
        <v>3.55E+23</v>
      </c>
      <c r="F206" s="2" t="s">
        <v>454</v>
      </c>
      <c r="G206" s="4">
        <v>1.66787872230026E-4</v>
      </c>
      <c r="H206" s="4">
        <v>0.99105540571491413</v>
      </c>
    </row>
    <row r="207" spans="1:8" ht="23.35" customHeight="1">
      <c r="A207" s="2">
        <v>203</v>
      </c>
      <c r="B207" s="2" t="s">
        <v>67</v>
      </c>
      <c r="C207" s="9">
        <v>44777</v>
      </c>
      <c r="D207" s="5">
        <v>130000000000</v>
      </c>
      <c r="E207" s="5">
        <v>3.5490054944999999E+23</v>
      </c>
      <c r="F207" s="2" t="s">
        <v>455</v>
      </c>
      <c r="G207" s="4">
        <v>1.6674114787614824E-4</v>
      </c>
      <c r="H207" s="4">
        <v>0.99122214686279031</v>
      </c>
    </row>
    <row r="208" spans="1:8" ht="23.35" customHeight="1">
      <c r="A208" s="2">
        <v>204</v>
      </c>
      <c r="B208" s="2" t="s">
        <v>213</v>
      </c>
      <c r="C208" s="9">
        <v>44788</v>
      </c>
      <c r="D208" s="5">
        <v>70000000000</v>
      </c>
      <c r="E208" s="5">
        <v>3.5460999999999997E+23</v>
      </c>
      <c r="F208" s="2" t="s">
        <v>467</v>
      </c>
      <c r="G208" s="4">
        <v>1.6660464048306905E-4</v>
      </c>
      <c r="H208" s="4">
        <v>0.99138875150327332</v>
      </c>
    </row>
    <row r="209" spans="1:8" ht="23.35" customHeight="1">
      <c r="A209" s="2">
        <v>205</v>
      </c>
      <c r="B209" s="2" t="s">
        <v>64</v>
      </c>
      <c r="C209" s="9">
        <v>44481</v>
      </c>
      <c r="D209" s="5">
        <v>245730000000</v>
      </c>
      <c r="E209" s="5">
        <v>3.5380000000001001E+23</v>
      </c>
      <c r="F209" s="2" t="s">
        <v>455</v>
      </c>
      <c r="G209" s="4">
        <v>1.6622408223939401E-4</v>
      </c>
      <c r="H209" s="4">
        <v>0.99155497558551275</v>
      </c>
    </row>
    <row r="210" spans="1:8" ht="23.35" customHeight="1">
      <c r="A210" s="2">
        <v>206</v>
      </c>
      <c r="B210" s="2" t="s">
        <v>241</v>
      </c>
      <c r="C210" s="9">
        <v>44683</v>
      </c>
      <c r="D210" s="5">
        <v>13000000000</v>
      </c>
      <c r="E210" s="5">
        <v>3.5300000000000002E+23</v>
      </c>
      <c r="F210" s="2" t="s">
        <v>454</v>
      </c>
      <c r="G210" s="4">
        <v>1.658482222456315E-4</v>
      </c>
      <c r="H210" s="4">
        <v>0.99172082380775828</v>
      </c>
    </row>
    <row r="211" spans="1:8" ht="23.35" customHeight="1">
      <c r="A211" s="2">
        <v>207</v>
      </c>
      <c r="B211" s="2" t="s">
        <v>239</v>
      </c>
      <c r="C211" s="9">
        <v>44657</v>
      </c>
      <c r="D211" s="5">
        <v>3500000000</v>
      </c>
      <c r="E211" s="5">
        <v>3.3695784000000003E+23</v>
      </c>
      <c r="F211" s="2" t="s">
        <v>454</v>
      </c>
      <c r="G211" s="4">
        <v>1.5831121454880435E-4</v>
      </c>
      <c r="H211" s="4">
        <v>0.99187913502230707</v>
      </c>
    </row>
    <row r="212" spans="1:8" ht="23.35" customHeight="1">
      <c r="A212" s="2">
        <v>208</v>
      </c>
      <c r="B212" s="2" t="s">
        <v>105</v>
      </c>
      <c r="C212" s="9">
        <v>45326</v>
      </c>
      <c r="D212" s="5">
        <v>14000000000</v>
      </c>
      <c r="E212" s="5">
        <v>3.3599999999999997E+23</v>
      </c>
      <c r="F212" s="2" t="s">
        <v>455</v>
      </c>
      <c r="G212" s="4">
        <v>1.5786119737827811E-4</v>
      </c>
      <c r="H212" s="4">
        <v>0.99203699621968533</v>
      </c>
    </row>
    <row r="213" spans="1:8" ht="23.35" customHeight="1">
      <c r="A213" s="2">
        <v>209</v>
      </c>
      <c r="B213" s="2" t="s">
        <v>295</v>
      </c>
      <c r="C213" s="9">
        <v>45428</v>
      </c>
      <c r="D213" s="5">
        <v>7000000000</v>
      </c>
      <c r="E213" s="5">
        <v>3.3399700602E+23</v>
      </c>
      <c r="F213" s="2" t="s">
        <v>462</v>
      </c>
      <c r="G213" s="4">
        <v>1.5692014074725349E-4</v>
      </c>
      <c r="H213" s="4">
        <v>0.99219391636043264</v>
      </c>
    </row>
    <row r="214" spans="1:8" ht="23.35" customHeight="1">
      <c r="A214" s="2">
        <v>210</v>
      </c>
      <c r="B214" s="2" t="s">
        <v>132</v>
      </c>
      <c r="C214" s="9">
        <v>45554</v>
      </c>
      <c r="D214" s="5">
        <v>3090000000</v>
      </c>
      <c r="E214" s="5">
        <v>3.3372000000000001E+23</v>
      </c>
      <c r="F214" s="2" t="s">
        <v>455</v>
      </c>
      <c r="G214" s="4">
        <v>1.5678999639606839E-4</v>
      </c>
      <c r="H214" s="4">
        <v>0.99235070635682876</v>
      </c>
    </row>
    <row r="215" spans="1:8" ht="23.35" customHeight="1">
      <c r="A215" s="2">
        <v>211</v>
      </c>
      <c r="B215" s="2" t="s">
        <v>250</v>
      </c>
      <c r="C215" s="9">
        <v>44881</v>
      </c>
      <c r="D215" s="5">
        <v>120000000000</v>
      </c>
      <c r="E215" s="5">
        <v>3.2400000000000003E+23</v>
      </c>
      <c r="F215" s="2" t="s">
        <v>454</v>
      </c>
      <c r="G215" s="4">
        <v>1.5222329747191106E-4</v>
      </c>
      <c r="H215" s="4">
        <v>0.99250292965430076</v>
      </c>
    </row>
    <row r="216" spans="1:8" ht="23.35" customHeight="1">
      <c r="A216" s="2">
        <v>212</v>
      </c>
      <c r="B216" s="2" t="s">
        <v>353</v>
      </c>
      <c r="C216" s="9">
        <v>45932</v>
      </c>
      <c r="D216" s="5">
        <v>3000000000</v>
      </c>
      <c r="E216" s="5">
        <v>3.1500000000000002E+23</v>
      </c>
      <c r="F216" s="2" t="s">
        <v>454</v>
      </c>
      <c r="G216" s="4">
        <v>1.4799487254213575E-4</v>
      </c>
      <c r="H216" s="4">
        <v>0.99265092452684289</v>
      </c>
    </row>
    <row r="217" spans="1:8" ht="23.35" customHeight="1">
      <c r="A217" s="2">
        <v>213</v>
      </c>
      <c r="B217" s="2" t="s">
        <v>232</v>
      </c>
      <c r="C217" s="9">
        <v>43979</v>
      </c>
      <c r="D217" s="5">
        <v>174600000000</v>
      </c>
      <c r="E217" s="5">
        <v>3.14E+23</v>
      </c>
      <c r="F217" s="2" t="s">
        <v>454</v>
      </c>
      <c r="G217" s="4">
        <v>1.4752504754993848E-4</v>
      </c>
      <c r="H217" s="4">
        <v>0.99279844957439278</v>
      </c>
    </row>
    <row r="218" spans="1:8" ht="23.35" customHeight="1">
      <c r="A218" s="2">
        <v>214</v>
      </c>
      <c r="B218" s="2" t="s">
        <v>101</v>
      </c>
      <c r="C218" s="9">
        <v>45303</v>
      </c>
      <c r="D218" s="5">
        <v>20000000000</v>
      </c>
      <c r="E218" s="5">
        <v>3.1200000000000002E+23</v>
      </c>
      <c r="F218" s="2" t="s">
        <v>455</v>
      </c>
      <c r="G218" s="4">
        <v>1.4658539756554398E-4</v>
      </c>
      <c r="H218" s="4">
        <v>0.99294503497195841</v>
      </c>
    </row>
    <row r="219" spans="1:8" ht="23.35" customHeight="1">
      <c r="A219" s="2">
        <v>215</v>
      </c>
      <c r="B219" s="2" t="s">
        <v>84</v>
      </c>
      <c r="C219" s="9">
        <v>45209</v>
      </c>
      <c r="D219" s="5">
        <v>13000000000</v>
      </c>
      <c r="E219" s="5">
        <v>3.0900000000000001E+23</v>
      </c>
      <c r="F219" s="2" t="s">
        <v>455</v>
      </c>
      <c r="G219" s="4">
        <v>1.4517592258895222E-4</v>
      </c>
      <c r="H219" s="4">
        <v>0.9930902108945473</v>
      </c>
    </row>
    <row r="220" spans="1:8" ht="23.35" customHeight="1">
      <c r="A220" s="2">
        <v>216</v>
      </c>
      <c r="B220" s="2" t="s">
        <v>276</v>
      </c>
      <c r="C220" s="9">
        <v>45346</v>
      </c>
      <c r="D220" s="5">
        <v>8540000000</v>
      </c>
      <c r="E220" s="5">
        <v>3.0743999999999997E+23</v>
      </c>
      <c r="F220" s="2" t="s">
        <v>454</v>
      </c>
      <c r="G220" s="4">
        <v>1.4444299560112446E-4</v>
      </c>
      <c r="H220" s="4">
        <v>0.99323465389014842</v>
      </c>
    </row>
    <row r="221" spans="1:8" ht="23.35" customHeight="1">
      <c r="A221" s="2">
        <v>217</v>
      </c>
      <c r="B221" s="2" t="s">
        <v>275</v>
      </c>
      <c r="C221" s="9">
        <v>45343</v>
      </c>
      <c r="D221" s="5">
        <v>8538074112</v>
      </c>
      <c r="E221" s="5">
        <v>3.0699999999999997E+23</v>
      </c>
      <c r="F221" s="2" t="s">
        <v>454</v>
      </c>
      <c r="G221" s="4">
        <v>1.4423627260455767E-4</v>
      </c>
      <c r="H221" s="4">
        <v>0.99337889016275294</v>
      </c>
    </row>
    <row r="222" spans="1:8" ht="23.35" customHeight="1">
      <c r="A222" s="2">
        <v>218</v>
      </c>
      <c r="B222" s="2" t="s">
        <v>291</v>
      </c>
      <c r="C222" s="9">
        <v>45405</v>
      </c>
      <c r="D222" s="5">
        <v>60800000000</v>
      </c>
      <c r="E222" s="5">
        <v>3.0202896E+23</v>
      </c>
      <c r="F222" s="2" t="s">
        <v>454</v>
      </c>
      <c r="G222" s="4">
        <v>1.4190075377534545E-4</v>
      </c>
      <c r="H222" s="4">
        <v>0.99352079091652834</v>
      </c>
    </row>
    <row r="223" spans="1:8" ht="23.35" customHeight="1">
      <c r="A223" s="2">
        <v>219</v>
      </c>
      <c r="B223" s="2" t="s">
        <v>297</v>
      </c>
      <c r="C223" s="9">
        <v>45443</v>
      </c>
      <c r="D223" s="5">
        <v>20000000000</v>
      </c>
      <c r="E223" s="5">
        <v>3.0000000000001001E+23</v>
      </c>
      <c r="F223" s="2" t="s">
        <v>454</v>
      </c>
      <c r="G223" s="4">
        <v>1.409474976591816E-4</v>
      </c>
      <c r="H223" s="4">
        <v>0.99366173841418759</v>
      </c>
    </row>
    <row r="224" spans="1:8" ht="23.35" customHeight="1">
      <c r="A224" s="2">
        <v>220</v>
      </c>
      <c r="B224" s="2" t="s">
        <v>188</v>
      </c>
      <c r="C224" s="9">
        <v>45870</v>
      </c>
      <c r="D224" s="5">
        <v>20730000000</v>
      </c>
      <c r="E224" s="5">
        <v>2.9499999999999999E+23</v>
      </c>
      <c r="F224" s="2" t="s">
        <v>461</v>
      </c>
      <c r="G224" s="4">
        <v>1.3859837269819062E-4</v>
      </c>
      <c r="H224" s="4">
        <v>0.99380033678688573</v>
      </c>
    </row>
    <row r="225" spans="1:8" ht="23.35" customHeight="1">
      <c r="A225" s="2">
        <v>221</v>
      </c>
      <c r="B225" s="2" t="s">
        <v>118</v>
      </c>
      <c r="C225" s="9">
        <v>45450</v>
      </c>
      <c r="D225" s="5">
        <v>7000000000</v>
      </c>
      <c r="E225" s="5">
        <v>2.9400000000001E+23</v>
      </c>
      <c r="F225" s="2" t="s">
        <v>455</v>
      </c>
      <c r="G225" s="4">
        <v>1.3812854770599807E-4</v>
      </c>
      <c r="H225" s="4">
        <v>0.99393846533459174</v>
      </c>
    </row>
    <row r="226" spans="1:8" ht="23.35" customHeight="1">
      <c r="A226" s="2">
        <v>222</v>
      </c>
      <c r="B226" s="2" t="s">
        <v>221</v>
      </c>
      <c r="C226" s="9">
        <v>45390</v>
      </c>
      <c r="D226" s="5">
        <v>12143605760</v>
      </c>
      <c r="E226" s="5">
        <v>2.91E+23</v>
      </c>
      <c r="F226" s="2" t="s">
        <v>466</v>
      </c>
      <c r="G226" s="4">
        <v>1.3671907272940159E-4</v>
      </c>
      <c r="H226" s="4">
        <v>0.99407518440732112</v>
      </c>
    </row>
    <row r="227" spans="1:8" ht="23.35" customHeight="1">
      <c r="A227" s="2">
        <v>223</v>
      </c>
      <c r="B227" s="2" t="s">
        <v>236</v>
      </c>
      <c r="C227" s="9">
        <v>44609</v>
      </c>
      <c r="D227" s="5">
        <v>269000000000</v>
      </c>
      <c r="E227" s="5">
        <v>2.9000000000000001E+23</v>
      </c>
      <c r="F227" s="2" t="s">
        <v>454</v>
      </c>
      <c r="G227" s="4">
        <v>1.3624924773720433E-4</v>
      </c>
      <c r="H227" s="4">
        <v>0.99421143365505849</v>
      </c>
    </row>
    <row r="228" spans="1:8" ht="23.35" customHeight="1">
      <c r="A228" s="2">
        <v>224</v>
      </c>
      <c r="B228" s="2" t="s">
        <v>108</v>
      </c>
      <c r="C228" s="9">
        <v>45345</v>
      </c>
      <c r="D228" s="5">
        <v>175000000000</v>
      </c>
      <c r="E228" s="5">
        <v>2.7385671435999999E+23</v>
      </c>
      <c r="F228" s="2" t="s">
        <v>455</v>
      </c>
      <c r="G228" s="4">
        <v>1.2866472868735326E-4</v>
      </c>
      <c r="H228" s="4">
        <v>0.99434009838374571</v>
      </c>
    </row>
    <row r="229" spans="1:8" ht="23.35" customHeight="1">
      <c r="A229" s="2">
        <v>225</v>
      </c>
      <c r="B229" s="2" t="s">
        <v>254</v>
      </c>
      <c r="C229" s="9">
        <v>44984</v>
      </c>
      <c r="D229" s="5">
        <v>32500000000</v>
      </c>
      <c r="E229" s="5">
        <v>2.7300000000000999E+23</v>
      </c>
      <c r="F229" s="2" t="s">
        <v>454</v>
      </c>
      <c r="G229" s="4">
        <v>1.2826222286985568E-4</v>
      </c>
      <c r="H229" s="4">
        <v>0.99446836060661559</v>
      </c>
    </row>
    <row r="230" spans="1:8" ht="23.35" customHeight="1">
      <c r="A230" s="2">
        <v>226</v>
      </c>
      <c r="B230" s="2" t="s">
        <v>197</v>
      </c>
      <c r="C230" s="9">
        <v>45910</v>
      </c>
      <c r="D230" s="5">
        <v>80000000000</v>
      </c>
      <c r="E230" s="5">
        <v>2.6999999999999999E+23</v>
      </c>
      <c r="F230" s="2" t="s">
        <v>455</v>
      </c>
      <c r="G230" s="4">
        <v>1.268527478932592E-4</v>
      </c>
      <c r="H230" s="4">
        <v>0.99459521335450884</v>
      </c>
    </row>
    <row r="231" spans="1:8" ht="23.35" customHeight="1">
      <c r="A231" s="2">
        <v>227</v>
      </c>
      <c r="B231" s="2" t="s">
        <v>267</v>
      </c>
      <c r="C231" s="9">
        <v>45236</v>
      </c>
      <c r="D231" s="5">
        <v>1550000000</v>
      </c>
      <c r="E231" s="5">
        <v>2.6999999999999999E+23</v>
      </c>
      <c r="F231" s="2" t="s">
        <v>454</v>
      </c>
      <c r="G231" s="4">
        <v>1.268527478932592E-4</v>
      </c>
      <c r="H231" s="4">
        <v>0.9947220661024021</v>
      </c>
    </row>
    <row r="232" spans="1:8" ht="23.35" customHeight="1">
      <c r="A232" s="2">
        <v>228</v>
      </c>
      <c r="B232" s="2" t="s">
        <v>220</v>
      </c>
      <c r="C232" s="9">
        <v>45386</v>
      </c>
      <c r="D232" s="5">
        <v>33000000000</v>
      </c>
      <c r="E232" s="5">
        <v>2.5739999999999999E+23</v>
      </c>
      <c r="F232" s="2" t="s">
        <v>470</v>
      </c>
      <c r="G232" s="4">
        <v>1.2093295299157377E-4</v>
      </c>
      <c r="H232" s="4">
        <v>0.99484299905539364</v>
      </c>
    </row>
    <row r="233" spans="1:8" ht="23.35" customHeight="1">
      <c r="A233" s="2">
        <v>229</v>
      </c>
      <c r="B233" s="2" t="s">
        <v>129</v>
      </c>
      <c r="C233" s="9">
        <v>45553</v>
      </c>
      <c r="D233" s="5">
        <v>7610000000</v>
      </c>
      <c r="E233" s="5">
        <v>2.5113000000000001E+23</v>
      </c>
      <c r="F233" s="2" t="s">
        <v>455</v>
      </c>
      <c r="G233" s="4">
        <v>1.1798715029049699E-4</v>
      </c>
      <c r="H233" s="4">
        <v>0.99496098620568418</v>
      </c>
    </row>
    <row r="234" spans="1:8" ht="23.35" customHeight="1">
      <c r="A234" s="2">
        <v>230</v>
      </c>
      <c r="B234" s="2" t="s">
        <v>152</v>
      </c>
      <c r="C234" s="9">
        <v>45713</v>
      </c>
      <c r="D234" s="5">
        <v>14000000000</v>
      </c>
      <c r="E234" s="5">
        <v>2.5E+23</v>
      </c>
      <c r="F234" s="2" t="s">
        <v>455</v>
      </c>
      <c r="G234" s="4">
        <v>1.1745624804931408E-4</v>
      </c>
      <c r="H234" s="4">
        <v>0.99507844245373345</v>
      </c>
    </row>
    <row r="235" spans="1:8" ht="23.35" customHeight="1">
      <c r="A235" s="2">
        <v>231</v>
      </c>
      <c r="B235" s="2" t="s">
        <v>86</v>
      </c>
      <c r="C235" s="9">
        <v>45229</v>
      </c>
      <c r="D235" s="5">
        <v>13000000000</v>
      </c>
      <c r="E235" s="5">
        <v>2.5E+23</v>
      </c>
      <c r="F235" s="2" t="s">
        <v>455</v>
      </c>
      <c r="G235" s="4">
        <v>1.1745624804931408E-4</v>
      </c>
      <c r="H235" s="4">
        <v>0.99519589870178282</v>
      </c>
    </row>
    <row r="236" spans="1:8" ht="23.35" customHeight="1">
      <c r="A236" s="2">
        <v>232</v>
      </c>
      <c r="B236" s="2" t="s">
        <v>82</v>
      </c>
      <c r="C236" s="9">
        <v>45197</v>
      </c>
      <c r="D236" s="5">
        <v>14000000000</v>
      </c>
      <c r="E236" s="5">
        <v>2.5E+23</v>
      </c>
      <c r="F236" s="2" t="s">
        <v>455</v>
      </c>
      <c r="G236" s="4">
        <v>1.1745624804931408E-4</v>
      </c>
      <c r="H236" s="4">
        <v>0.9953133549498322</v>
      </c>
    </row>
    <row r="237" spans="1:8" ht="23.35" customHeight="1">
      <c r="A237" s="2">
        <v>233</v>
      </c>
      <c r="B237" s="2" t="s">
        <v>271</v>
      </c>
      <c r="C237" s="9">
        <v>45260</v>
      </c>
      <c r="D237" s="5">
        <v>13000000000</v>
      </c>
      <c r="E237" s="5">
        <v>2.4399999999999999E+23</v>
      </c>
      <c r="F237" s="2" t="s">
        <v>454</v>
      </c>
      <c r="G237" s="4">
        <v>1.1463729809613054E-4</v>
      </c>
      <c r="H237" s="4">
        <v>0.99542799224792822</v>
      </c>
    </row>
    <row r="238" spans="1:8" ht="23.35" customHeight="1">
      <c r="A238" s="2">
        <v>234</v>
      </c>
      <c r="B238" s="2" t="s">
        <v>89</v>
      </c>
      <c r="C238" s="9">
        <v>45231</v>
      </c>
      <c r="D238" s="5">
        <v>16000000000</v>
      </c>
      <c r="E238" s="5">
        <v>2.4E+23</v>
      </c>
      <c r="F238" s="2" t="s">
        <v>455</v>
      </c>
      <c r="G238" s="4">
        <v>1.1275799812734153E-4</v>
      </c>
      <c r="H238" s="4">
        <v>0.99554075024605559</v>
      </c>
    </row>
    <row r="239" spans="1:8" ht="23.35" customHeight="1">
      <c r="A239" s="2">
        <v>235</v>
      </c>
      <c r="B239" s="2" t="s">
        <v>215</v>
      </c>
      <c r="C239" s="9">
        <v>45006</v>
      </c>
      <c r="D239" s="5">
        <v>40000000000</v>
      </c>
      <c r="E239" s="5">
        <v>2.4E+23</v>
      </c>
      <c r="F239" s="2" t="s">
        <v>456</v>
      </c>
      <c r="G239" s="4">
        <v>1.1275799812734153E-4</v>
      </c>
      <c r="H239" s="4">
        <v>0.99565350824418286</v>
      </c>
    </row>
    <row r="240" spans="1:8" ht="23.35" customHeight="1">
      <c r="A240" s="2">
        <v>236</v>
      </c>
      <c r="B240" s="2" t="s">
        <v>68</v>
      </c>
      <c r="C240" s="9">
        <v>45000</v>
      </c>
      <c r="D240" s="5">
        <v>40000000000</v>
      </c>
      <c r="E240" s="5">
        <v>2.4E+23</v>
      </c>
      <c r="F240" s="2" t="s">
        <v>459</v>
      </c>
      <c r="G240" s="4">
        <v>1.1275799812734153E-4</v>
      </c>
      <c r="H240" s="4">
        <v>0.99576626624231024</v>
      </c>
    </row>
    <row r="241" spans="1:8" ht="23.35" customHeight="1">
      <c r="A241" s="2">
        <v>237</v>
      </c>
      <c r="B241" s="2" t="s">
        <v>210</v>
      </c>
      <c r="C241" s="9">
        <v>44594</v>
      </c>
      <c r="D241" s="5">
        <v>41100000000</v>
      </c>
      <c r="E241" s="5">
        <v>2.38010000000001E+23</v>
      </c>
      <c r="F241" s="2" t="s">
        <v>466</v>
      </c>
      <c r="G241" s="4">
        <v>1.1182304639286945E-4</v>
      </c>
      <c r="H241" s="4">
        <v>0.99587808928870314</v>
      </c>
    </row>
    <row r="242" spans="1:8" ht="23.35" customHeight="1">
      <c r="A242" s="2">
        <v>238</v>
      </c>
      <c r="B242" s="2" t="s">
        <v>256</v>
      </c>
      <c r="C242" s="9">
        <v>45015</v>
      </c>
      <c r="D242" s="5">
        <v>50558868480</v>
      </c>
      <c r="E242" s="5">
        <v>2.3600000000000001E+23</v>
      </c>
      <c r="F242" s="2" t="s">
        <v>454</v>
      </c>
      <c r="G242" s="4">
        <v>1.108786981585525E-4</v>
      </c>
      <c r="H242" s="4">
        <v>0.99598896798686176</v>
      </c>
    </row>
    <row r="243" spans="1:8" ht="23.35" customHeight="1">
      <c r="A243" s="2">
        <v>239</v>
      </c>
      <c r="B243" s="2" t="s">
        <v>212</v>
      </c>
      <c r="C243" s="9">
        <v>44735</v>
      </c>
      <c r="D243" s="5">
        <v>100000000000</v>
      </c>
      <c r="E243" s="5">
        <v>2.2000000000000001E+23</v>
      </c>
      <c r="F243" s="2" t="s">
        <v>465</v>
      </c>
      <c r="G243" s="4">
        <v>1.033614982833964E-4</v>
      </c>
      <c r="H243" s="4">
        <v>0.99609232948514514</v>
      </c>
    </row>
    <row r="244" spans="1:8" ht="23.35" customHeight="1">
      <c r="A244" s="2">
        <v>240</v>
      </c>
      <c r="B244" s="2" t="s">
        <v>227</v>
      </c>
      <c r="C244" s="9">
        <v>45890</v>
      </c>
      <c r="D244" s="5">
        <v>7000000000</v>
      </c>
      <c r="E244" s="5">
        <v>2.1444091999999998E+23</v>
      </c>
      <c r="F244" s="2" t="s">
        <v>467</v>
      </c>
      <c r="G244" s="4">
        <v>1.0074970356577246E-4</v>
      </c>
      <c r="H244" s="4">
        <v>0.99619307918871081</v>
      </c>
    </row>
    <row r="245" spans="1:8" ht="23.35" customHeight="1">
      <c r="A245" s="2">
        <v>241</v>
      </c>
      <c r="B245" s="2" t="s">
        <v>289</v>
      </c>
      <c r="C245" s="9">
        <v>45405</v>
      </c>
      <c r="D245" s="5">
        <v>7400000000</v>
      </c>
      <c r="E245" s="5">
        <v>2.1312E+23</v>
      </c>
      <c r="F245" s="2" t="s">
        <v>454</v>
      </c>
      <c r="G245" s="4">
        <v>1.0012910233707927E-4</v>
      </c>
      <c r="H245" s="4">
        <v>0.99629320829104784</v>
      </c>
    </row>
    <row r="246" spans="1:8" ht="23.35" customHeight="1">
      <c r="A246" s="2">
        <v>242</v>
      </c>
      <c r="B246" s="2" t="s">
        <v>218</v>
      </c>
      <c r="C246" s="9">
        <v>45274</v>
      </c>
      <c r="D246" s="5">
        <v>34200000000</v>
      </c>
      <c r="E246" s="5">
        <v>2.052E+23</v>
      </c>
      <c r="F246" s="2" t="s">
        <v>471</v>
      </c>
      <c r="G246" s="4">
        <v>9.6408088398876993E-5</v>
      </c>
      <c r="H246" s="4">
        <v>0.99638961637944667</v>
      </c>
    </row>
    <row r="247" spans="1:8" ht="23.35" customHeight="1">
      <c r="A247" s="2">
        <v>243</v>
      </c>
      <c r="B247" s="2" t="s">
        <v>248</v>
      </c>
      <c r="C247" s="9">
        <v>44775</v>
      </c>
      <c r="D247" s="5">
        <v>19750000000</v>
      </c>
      <c r="E247" s="5">
        <v>2.04374016E+23</v>
      </c>
      <c r="F247" s="2" t="s">
        <v>454</v>
      </c>
      <c r="G247" s="4">
        <v>9.6020020472521945E-5</v>
      </c>
      <c r="H247" s="4">
        <v>0.99648563639991916</v>
      </c>
    </row>
    <row r="248" spans="1:8" ht="23.35" customHeight="1">
      <c r="A248" s="2">
        <v>244</v>
      </c>
      <c r="B248" s="2" t="s">
        <v>78</v>
      </c>
      <c r="C248" s="9">
        <v>45175</v>
      </c>
      <c r="D248" s="5">
        <v>13000000000</v>
      </c>
      <c r="E248" s="5">
        <v>2.0299999999999999E+23</v>
      </c>
      <c r="F248" s="2" t="s">
        <v>455</v>
      </c>
      <c r="G248" s="4">
        <v>9.5374473416043033E-5</v>
      </c>
      <c r="H248" s="4">
        <v>0.99658101087333528</v>
      </c>
    </row>
    <row r="249" spans="1:8" ht="23.35" customHeight="1">
      <c r="A249" s="2">
        <v>245</v>
      </c>
      <c r="B249" s="2" t="s">
        <v>63</v>
      </c>
      <c r="C249" s="9">
        <v>44449</v>
      </c>
      <c r="D249" s="5">
        <v>204000000000</v>
      </c>
      <c r="E249" s="5">
        <v>2.0000000001000001E+23</v>
      </c>
      <c r="F249" s="2" t="s">
        <v>461</v>
      </c>
      <c r="G249" s="4">
        <v>9.3964998444149526E-5</v>
      </c>
      <c r="H249" s="4">
        <v>0.99667497587177944</v>
      </c>
    </row>
    <row r="250" spans="1:8" ht="23.35" customHeight="1">
      <c r="A250" s="2">
        <v>246</v>
      </c>
      <c r="B250" s="2" t="s">
        <v>252</v>
      </c>
      <c r="C250" s="9">
        <v>44967</v>
      </c>
      <c r="D250" s="5">
        <v>21743000000</v>
      </c>
      <c r="E250" s="5">
        <v>1.9324800000000001E+23</v>
      </c>
      <c r="F250" s="2" t="s">
        <v>454</v>
      </c>
      <c r="G250" s="4">
        <v>9.0792740092135397E-5</v>
      </c>
      <c r="H250" s="4">
        <v>0.99676576861187161</v>
      </c>
    </row>
    <row r="251" spans="1:8" ht="23.35" customHeight="1">
      <c r="A251" s="2">
        <v>247</v>
      </c>
      <c r="B251" s="2" t="s">
        <v>113</v>
      </c>
      <c r="C251" s="9">
        <v>45425</v>
      </c>
      <c r="D251" s="5">
        <v>8830000000</v>
      </c>
      <c r="E251" s="5">
        <v>1.9072800000000001E+23</v>
      </c>
      <c r="F251" s="2" t="s">
        <v>455</v>
      </c>
      <c r="G251" s="4">
        <v>8.9608781111798316E-5</v>
      </c>
      <c r="H251" s="4">
        <v>0.99685537739298347</v>
      </c>
    </row>
    <row r="252" spans="1:8" ht="23.35" customHeight="1">
      <c r="A252" s="2">
        <v>248</v>
      </c>
      <c r="B252" s="2" t="s">
        <v>258</v>
      </c>
      <c r="C252" s="9">
        <v>45099</v>
      </c>
      <c r="D252" s="5">
        <v>30000000000</v>
      </c>
      <c r="E252" s="5">
        <v>1.8900000000001E+23</v>
      </c>
      <c r="F252" s="2" t="s">
        <v>454</v>
      </c>
      <c r="G252" s="4">
        <v>8.8796923525286147E-5</v>
      </c>
      <c r="H252" s="4">
        <v>0.99694417431650872</v>
      </c>
    </row>
    <row r="253" spans="1:8" ht="23.35" customHeight="1">
      <c r="A253" s="2">
        <v>249</v>
      </c>
      <c r="B253" s="2" t="s">
        <v>304</v>
      </c>
      <c r="C253" s="9">
        <v>45483</v>
      </c>
      <c r="D253" s="5">
        <v>7000000000</v>
      </c>
      <c r="E253" s="5">
        <v>1.89E+23</v>
      </c>
      <c r="F253" s="2" t="s">
        <v>472</v>
      </c>
      <c r="G253" s="4">
        <v>8.8796923525281444E-5</v>
      </c>
      <c r="H253" s="4">
        <v>0.99703297124003387</v>
      </c>
    </row>
    <row r="254" spans="1:8" ht="23.35" customHeight="1">
      <c r="A254" s="2">
        <v>250</v>
      </c>
      <c r="B254" s="2" t="s">
        <v>286</v>
      </c>
      <c r="C254" s="9">
        <v>45400</v>
      </c>
      <c r="D254" s="5">
        <v>7000000000</v>
      </c>
      <c r="E254" s="5">
        <v>1.89E+23</v>
      </c>
      <c r="F254" s="2" t="s">
        <v>454</v>
      </c>
      <c r="G254" s="4">
        <v>8.8796923525281444E-5</v>
      </c>
      <c r="H254" s="4">
        <v>0.99712176816355913</v>
      </c>
    </row>
    <row r="255" spans="1:8" ht="23.35" customHeight="1">
      <c r="A255" s="2">
        <v>251</v>
      </c>
      <c r="B255" s="2" t="s">
        <v>298</v>
      </c>
      <c r="C255" s="9">
        <v>45455</v>
      </c>
      <c r="D255" s="5">
        <v>8660000000</v>
      </c>
      <c r="E255" s="5">
        <v>1.8186000000000002E+23</v>
      </c>
      <c r="F255" s="2" t="s">
        <v>454</v>
      </c>
      <c r="G255" s="4">
        <v>8.5442373080993046E-5</v>
      </c>
      <c r="H255" s="4">
        <v>0.99720721053664019</v>
      </c>
    </row>
    <row r="256" spans="1:8" ht="23.35" customHeight="1">
      <c r="A256" s="2">
        <v>252</v>
      </c>
      <c r="B256" s="2" t="s">
        <v>180</v>
      </c>
      <c r="C256" s="9">
        <v>45837</v>
      </c>
      <c r="D256" s="5">
        <v>21000000000</v>
      </c>
      <c r="E256" s="5">
        <v>1.7999999999999999E+23</v>
      </c>
      <c r="F256" s="2" t="s">
        <v>455</v>
      </c>
      <c r="G256" s="4">
        <v>8.456849859550613E-5</v>
      </c>
      <c r="H256" s="4">
        <v>0.9972917790352358</v>
      </c>
    </row>
    <row r="257" spans="1:8" ht="23.35" customHeight="1">
      <c r="A257" s="2">
        <v>253</v>
      </c>
      <c r="B257" s="2" t="s">
        <v>324</v>
      </c>
      <c r="C257" s="9">
        <v>45657</v>
      </c>
      <c r="D257" s="5">
        <v>7000000000</v>
      </c>
      <c r="E257" s="5">
        <v>1.7999999999999999E+23</v>
      </c>
      <c r="F257" s="2" t="s">
        <v>454</v>
      </c>
      <c r="G257" s="4">
        <v>8.456849859550613E-5</v>
      </c>
      <c r="H257" s="4">
        <v>0.99737634753383131</v>
      </c>
    </row>
    <row r="258" spans="1:8" ht="23.35" customHeight="1">
      <c r="A258" s="2">
        <v>254</v>
      </c>
      <c r="B258" s="2" t="s">
        <v>323</v>
      </c>
      <c r="C258" s="9">
        <v>45644</v>
      </c>
      <c r="D258" s="5">
        <v>2500000000</v>
      </c>
      <c r="E258" s="5">
        <v>1.7999999999999999E+23</v>
      </c>
      <c r="F258" s="2" t="s">
        <v>454</v>
      </c>
      <c r="G258" s="4">
        <v>8.456849859550613E-5</v>
      </c>
      <c r="H258" s="4">
        <v>0.99746091603242693</v>
      </c>
    </row>
    <row r="259" spans="1:8" ht="23.35" customHeight="1">
      <c r="A259" s="2">
        <v>255</v>
      </c>
      <c r="B259" s="2" t="s">
        <v>318</v>
      </c>
      <c r="C259" s="9">
        <v>45586</v>
      </c>
      <c r="D259" s="5">
        <v>2500000000</v>
      </c>
      <c r="E259" s="5">
        <v>1.7999999999999999E+23</v>
      </c>
      <c r="F259" s="2" t="s">
        <v>454</v>
      </c>
      <c r="G259" s="4">
        <v>8.456849859550613E-5</v>
      </c>
      <c r="H259" s="4">
        <v>0.99754548453102243</v>
      </c>
    </row>
    <row r="260" spans="1:8" ht="23.35" customHeight="1">
      <c r="A260" s="2">
        <v>256</v>
      </c>
      <c r="B260" s="2" t="s">
        <v>269</v>
      </c>
      <c r="C260" s="9">
        <v>45245</v>
      </c>
      <c r="D260" s="5">
        <v>8000000000</v>
      </c>
      <c r="E260" s="5">
        <v>1.7999999999999999E+23</v>
      </c>
      <c r="F260" s="2" t="s">
        <v>454</v>
      </c>
      <c r="G260" s="4">
        <v>8.456849859550613E-5</v>
      </c>
      <c r="H260" s="4">
        <v>0.99763005302961805</v>
      </c>
    </row>
    <row r="261" spans="1:8" ht="23.35" customHeight="1">
      <c r="A261" s="2">
        <v>257</v>
      </c>
      <c r="B261" s="2" t="s">
        <v>95</v>
      </c>
      <c r="C261" s="9">
        <v>45257</v>
      </c>
      <c r="D261" s="5">
        <v>102600000000</v>
      </c>
      <c r="E261" s="5">
        <v>1.7800000000000001E+23</v>
      </c>
      <c r="F261" s="2" t="s">
        <v>455</v>
      </c>
      <c r="G261" s="4">
        <v>8.3628848611111631E-5</v>
      </c>
      <c r="H261" s="4">
        <v>0.99771368187822906</v>
      </c>
    </row>
    <row r="262" spans="1:8" ht="23.35" customHeight="1">
      <c r="A262" s="2">
        <v>258</v>
      </c>
      <c r="B262" s="2" t="s">
        <v>312</v>
      </c>
      <c r="C262" s="9">
        <v>45559</v>
      </c>
      <c r="D262" s="5">
        <v>3210000000</v>
      </c>
      <c r="E262" s="5">
        <v>1.7333999999999998E+23</v>
      </c>
      <c r="F262" s="2" t="s">
        <v>454</v>
      </c>
      <c r="G262" s="4">
        <v>8.14394641474724E-5</v>
      </c>
      <c r="H262" s="4">
        <v>0.99779512134237658</v>
      </c>
    </row>
    <row r="263" spans="1:8" ht="23.35" customHeight="1">
      <c r="A263" s="2">
        <v>259</v>
      </c>
      <c r="B263" s="2" t="s">
        <v>98</v>
      </c>
      <c r="C263" s="9">
        <v>45275</v>
      </c>
      <c r="D263" s="5">
        <v>41000000000</v>
      </c>
      <c r="E263" s="5">
        <v>1.7220000000000001E+23</v>
      </c>
      <c r="F263" s="2" t="s">
        <v>461</v>
      </c>
      <c r="G263" s="4">
        <v>8.090386365636754E-5</v>
      </c>
      <c r="H263" s="4">
        <v>0.99787602520603291</v>
      </c>
    </row>
    <row r="264" spans="1:8" ht="23.35" customHeight="1">
      <c r="A264" s="2">
        <v>260</v>
      </c>
      <c r="B264" s="2" t="s">
        <v>249</v>
      </c>
      <c r="C264" s="9">
        <v>44818</v>
      </c>
      <c r="D264" s="5">
        <v>16900000000</v>
      </c>
      <c r="E264" s="5">
        <v>1.6900000000000001E+23</v>
      </c>
      <c r="F264" s="2" t="s">
        <v>454</v>
      </c>
      <c r="G264" s="4">
        <v>7.9400423681336317E-5</v>
      </c>
      <c r="H264" s="4">
        <v>0.99795542562971418</v>
      </c>
    </row>
    <row r="265" spans="1:8" ht="23.35" customHeight="1">
      <c r="A265" s="2">
        <v>261</v>
      </c>
      <c r="B265" s="2" t="s">
        <v>198</v>
      </c>
      <c r="C265" s="9">
        <v>45910</v>
      </c>
      <c r="D265" s="5">
        <v>16000000000</v>
      </c>
      <c r="E265" s="5">
        <v>1.6799999999999998E+23</v>
      </c>
      <c r="F265" s="2" t="s">
        <v>455</v>
      </c>
      <c r="G265" s="4">
        <v>7.8930598689139054E-5</v>
      </c>
      <c r="H265" s="4">
        <v>0.9980343562284032</v>
      </c>
    </row>
    <row r="266" spans="1:8" ht="23.35" customHeight="1">
      <c r="A266" s="2">
        <v>262</v>
      </c>
      <c r="B266" s="2" t="s">
        <v>103</v>
      </c>
      <c r="C266" s="9">
        <v>45326</v>
      </c>
      <c r="D266" s="5">
        <v>7000000000</v>
      </c>
      <c r="E266" s="5">
        <v>1.6799999999999998E+23</v>
      </c>
      <c r="F266" s="2" t="s">
        <v>455</v>
      </c>
      <c r="G266" s="4">
        <v>7.8930598689139054E-5</v>
      </c>
      <c r="H266" s="4">
        <v>0.99811328682709233</v>
      </c>
    </row>
    <row r="267" spans="1:8" ht="23.35" customHeight="1">
      <c r="A267" s="2">
        <v>263</v>
      </c>
      <c r="B267" s="2" t="s">
        <v>85</v>
      </c>
      <c r="C267" s="9">
        <v>45211</v>
      </c>
      <c r="D267" s="5">
        <v>13900000000</v>
      </c>
      <c r="E267" s="5">
        <v>1.668E+23</v>
      </c>
      <c r="F267" s="2" t="s">
        <v>455</v>
      </c>
      <c r="G267" s="4">
        <v>7.8366808698502357E-5</v>
      </c>
      <c r="H267" s="4">
        <v>0.99819165363579088</v>
      </c>
    </row>
    <row r="268" spans="1:8" ht="23.35" customHeight="1">
      <c r="A268" s="2">
        <v>264</v>
      </c>
      <c r="B268" s="2" t="s">
        <v>134</v>
      </c>
      <c r="C268" s="9">
        <v>45554</v>
      </c>
      <c r="D268" s="5">
        <v>1540000000</v>
      </c>
      <c r="E268" s="5">
        <v>1.6631999999999999E+23</v>
      </c>
      <c r="F268" s="2" t="s">
        <v>455</v>
      </c>
      <c r="G268" s="4">
        <v>7.8141292702247662E-5</v>
      </c>
      <c r="H268" s="4">
        <v>0.99826979492849299</v>
      </c>
    </row>
    <row r="269" spans="1:8" ht="23.35" customHeight="1">
      <c r="A269" s="2">
        <v>265</v>
      </c>
      <c r="B269" s="2" t="s">
        <v>263</v>
      </c>
      <c r="C269" s="9">
        <v>45125</v>
      </c>
      <c r="D269" s="5">
        <v>13000000000</v>
      </c>
      <c r="E269" s="5">
        <v>1.6E+23</v>
      </c>
      <c r="F269" s="2" t="s">
        <v>454</v>
      </c>
      <c r="G269" s="4">
        <v>7.5171998751561017E-5</v>
      </c>
      <c r="H269" s="4">
        <v>0.99834496692724461</v>
      </c>
    </row>
    <row r="270" spans="1:8" ht="23.35" customHeight="1">
      <c r="A270" s="2">
        <v>266</v>
      </c>
      <c r="B270" s="2" t="s">
        <v>278</v>
      </c>
      <c r="C270" s="9">
        <v>45351</v>
      </c>
      <c r="D270" s="5">
        <v>7000000000</v>
      </c>
      <c r="E270" s="5">
        <v>1.5499999999999999E+23</v>
      </c>
      <c r="F270" s="2" t="s">
        <v>454</v>
      </c>
      <c r="G270" s="4">
        <v>7.2822873790574728E-5</v>
      </c>
      <c r="H270" s="4">
        <v>0.99841778980103524</v>
      </c>
    </row>
    <row r="271" spans="1:8" ht="23.35" customHeight="1">
      <c r="A271" s="2">
        <v>267</v>
      </c>
      <c r="B271" s="2" t="s">
        <v>294</v>
      </c>
      <c r="C271" s="9">
        <v>45412</v>
      </c>
      <c r="D271" s="5">
        <v>13000000000</v>
      </c>
      <c r="E271" s="5">
        <v>1.5364368000000002E+23</v>
      </c>
      <c r="F271" s="2" t="s">
        <v>462</v>
      </c>
      <c r="G271" s="4">
        <v>7.2185640757157756E-5</v>
      </c>
      <c r="H271" s="4">
        <v>0.99848997544179241</v>
      </c>
    </row>
    <row r="272" spans="1:8" ht="23.35" customHeight="1">
      <c r="A272" s="2">
        <v>268</v>
      </c>
      <c r="B272" s="2" t="s">
        <v>154</v>
      </c>
      <c r="C272" s="9">
        <v>45726</v>
      </c>
      <c r="D272" s="5">
        <v>16800000000</v>
      </c>
      <c r="E272" s="5">
        <v>1.485E+23</v>
      </c>
      <c r="F272" s="2" t="s">
        <v>455</v>
      </c>
      <c r="G272" s="4">
        <v>6.9769011341292572E-5</v>
      </c>
      <c r="H272" s="4">
        <v>0.99855974445313367</v>
      </c>
    </row>
    <row r="273" spans="1:8" ht="23.35" customHeight="1">
      <c r="A273" s="2">
        <v>269</v>
      </c>
      <c r="B273" s="2" t="s">
        <v>140</v>
      </c>
      <c r="C273" s="9">
        <v>45629</v>
      </c>
      <c r="D273" s="5">
        <v>13000000000</v>
      </c>
      <c r="E273" s="5">
        <v>1.4814815000000001E+23</v>
      </c>
      <c r="F273" s="2" t="s">
        <v>455</v>
      </c>
      <c r="G273" s="4">
        <v>6.9603703417787957E-5</v>
      </c>
      <c r="H273" s="4">
        <v>0.99862934815655147</v>
      </c>
    </row>
    <row r="274" spans="1:8" ht="23.35" customHeight="1">
      <c r="A274" s="2">
        <v>270</v>
      </c>
      <c r="B274" s="2" t="s">
        <v>62</v>
      </c>
      <c r="C274" s="9">
        <v>44449</v>
      </c>
      <c r="D274" s="5">
        <v>82000000000</v>
      </c>
      <c r="E274" s="5">
        <v>1.476E+23</v>
      </c>
      <c r="F274" s="2" t="s">
        <v>461</v>
      </c>
      <c r="G274" s="4">
        <v>6.9346168848315033E-5</v>
      </c>
      <c r="H274" s="4">
        <v>0.99869869432539982</v>
      </c>
    </row>
    <row r="275" spans="1:8" ht="23.35" customHeight="1">
      <c r="A275" s="2">
        <v>271</v>
      </c>
      <c r="B275" s="2" t="s">
        <v>316</v>
      </c>
      <c r="C275" s="9">
        <v>45573</v>
      </c>
      <c r="D275" s="5">
        <v>24900000000</v>
      </c>
      <c r="E275" s="5">
        <v>1.428E+23</v>
      </c>
      <c r="F275" s="2" t="s">
        <v>454</v>
      </c>
      <c r="G275" s="4">
        <v>6.7091008885768205E-5</v>
      </c>
      <c r="H275" s="4">
        <v>0.99876578533428562</v>
      </c>
    </row>
    <row r="276" spans="1:8" ht="23.35" customHeight="1">
      <c r="A276" s="2">
        <v>272</v>
      </c>
      <c r="B276" s="2" t="s">
        <v>116</v>
      </c>
      <c r="C276" s="9">
        <v>45434</v>
      </c>
      <c r="D276" s="5">
        <v>7000000000</v>
      </c>
      <c r="E276" s="5">
        <v>1.428E+23</v>
      </c>
      <c r="F276" s="2" t="s">
        <v>455</v>
      </c>
      <c r="G276" s="4">
        <v>6.7091008885768205E-5</v>
      </c>
      <c r="H276" s="4">
        <v>0.99883287634317142</v>
      </c>
    </row>
    <row r="277" spans="1:8" ht="23.35" customHeight="1">
      <c r="A277" s="2">
        <v>273</v>
      </c>
      <c r="B277" s="2" t="s">
        <v>315</v>
      </c>
      <c r="C277" s="9">
        <v>45569</v>
      </c>
      <c r="D277" s="5">
        <v>13000000000</v>
      </c>
      <c r="E277" s="5">
        <v>1.4000000000000001E+23</v>
      </c>
      <c r="F277" s="2" t="s">
        <v>454</v>
      </c>
      <c r="G277" s="4">
        <v>6.577549890761589E-5</v>
      </c>
      <c r="H277" s="4">
        <v>0.99889865184207904</v>
      </c>
    </row>
    <row r="278" spans="1:8" ht="23.35" customHeight="1">
      <c r="A278" s="2">
        <v>274</v>
      </c>
      <c r="B278" s="2" t="s">
        <v>351</v>
      </c>
      <c r="C278" s="9">
        <v>45932</v>
      </c>
      <c r="D278" s="5">
        <v>7000000000</v>
      </c>
      <c r="E278" s="5">
        <v>1.3499999999999999E+23</v>
      </c>
      <c r="F278" s="2" t="s">
        <v>454</v>
      </c>
      <c r="G278" s="4">
        <v>6.3426373946629601E-5</v>
      </c>
      <c r="H278" s="4">
        <v>0.99896207821602567</v>
      </c>
    </row>
    <row r="279" spans="1:8" ht="23.35" customHeight="1">
      <c r="A279" s="2">
        <v>275</v>
      </c>
      <c r="B279" s="2" t="s">
        <v>169</v>
      </c>
      <c r="C279" s="9">
        <v>45776</v>
      </c>
      <c r="D279" s="5">
        <v>600000000</v>
      </c>
      <c r="E279" s="5">
        <v>1.296E+23</v>
      </c>
      <c r="F279" s="2" t="s">
        <v>455</v>
      </c>
      <c r="G279" s="4">
        <v>6.0889318988764418E-5</v>
      </c>
      <c r="H279" s="4">
        <v>0.99902296753501441</v>
      </c>
    </row>
    <row r="280" spans="1:8" ht="23.35" customHeight="1">
      <c r="A280" s="2">
        <v>276</v>
      </c>
      <c r="B280" s="2" t="s">
        <v>91</v>
      </c>
      <c r="C280" s="9">
        <v>45232</v>
      </c>
      <c r="D280" s="5">
        <v>6000000000</v>
      </c>
      <c r="E280" s="5">
        <v>1.26E+23</v>
      </c>
      <c r="F280" s="2" t="s">
        <v>455</v>
      </c>
      <c r="G280" s="4">
        <v>5.9197949016854301E-5</v>
      </c>
      <c r="H280" s="4">
        <v>0.99908216548403128</v>
      </c>
    </row>
    <row r="281" spans="1:8" ht="23.35" customHeight="1">
      <c r="A281" s="2">
        <v>277</v>
      </c>
      <c r="B281" s="2" t="s">
        <v>74</v>
      </c>
      <c r="C281" s="9">
        <v>45154</v>
      </c>
      <c r="D281" s="5">
        <v>13000000000</v>
      </c>
      <c r="E281" s="5">
        <v>1.248E+23</v>
      </c>
      <c r="F281" s="2" t="s">
        <v>461</v>
      </c>
      <c r="G281" s="4">
        <v>5.863415902621759E-5</v>
      </c>
      <c r="H281" s="4">
        <v>0.99914079964305758</v>
      </c>
    </row>
    <row r="282" spans="1:8" ht="23.35" customHeight="1">
      <c r="A282" s="2">
        <v>278</v>
      </c>
      <c r="B282" s="2" t="s">
        <v>242</v>
      </c>
      <c r="C282" s="9">
        <v>44691</v>
      </c>
      <c r="D282" s="5">
        <v>20000000000</v>
      </c>
      <c r="E282" s="5">
        <v>1.2E+23</v>
      </c>
      <c r="F282" s="2" t="s">
        <v>454</v>
      </c>
      <c r="G282" s="4">
        <v>5.6378999063670763E-5</v>
      </c>
      <c r="H282" s="4">
        <v>0.99919717864212121</v>
      </c>
    </row>
    <row r="283" spans="1:8" ht="23.35" customHeight="1">
      <c r="A283" s="2">
        <v>279</v>
      </c>
      <c r="B283" s="2" t="s">
        <v>83</v>
      </c>
      <c r="C283" s="9">
        <v>45197</v>
      </c>
      <c r="D283" s="5">
        <v>13000000000</v>
      </c>
      <c r="E283" s="5">
        <v>1.17E+23</v>
      </c>
      <c r="F283" s="2" t="s">
        <v>463</v>
      </c>
      <c r="G283" s="4">
        <v>5.4969524087078987E-5</v>
      </c>
      <c r="H283" s="4">
        <v>0.99925214816620833</v>
      </c>
    </row>
    <row r="284" spans="1:8" ht="23.35" customHeight="1">
      <c r="A284" s="2">
        <v>280</v>
      </c>
      <c r="B284" s="2" t="s">
        <v>230</v>
      </c>
      <c r="C284" s="9">
        <v>43858</v>
      </c>
      <c r="D284" s="5">
        <v>2600000000</v>
      </c>
      <c r="E284" s="5">
        <v>1.12E+23</v>
      </c>
      <c r="F284" s="2" t="s">
        <v>454</v>
      </c>
      <c r="G284" s="4">
        <v>5.2620399126092712E-5</v>
      </c>
      <c r="H284" s="4">
        <v>0.99930476856533434</v>
      </c>
    </row>
    <row r="285" spans="1:8" ht="23.35" customHeight="1">
      <c r="A285" s="2">
        <v>281</v>
      </c>
      <c r="B285" s="2" t="s">
        <v>244</v>
      </c>
      <c r="C285" s="9">
        <v>44733</v>
      </c>
      <c r="D285" s="5">
        <v>66000000000</v>
      </c>
      <c r="E285" s="5">
        <v>1.100000000001E+23</v>
      </c>
      <c r="F285" s="2" t="s">
        <v>454</v>
      </c>
      <c r="G285" s="4">
        <v>5.1680749141745179E-5</v>
      </c>
      <c r="H285" s="4">
        <v>0.99935644931447609</v>
      </c>
    </row>
    <row r="286" spans="1:8" ht="23.35" customHeight="1">
      <c r="A286" s="2">
        <v>282</v>
      </c>
      <c r="B286" s="2" t="s">
        <v>354</v>
      </c>
      <c r="C286" s="9">
        <v>45948</v>
      </c>
      <c r="D286" s="5">
        <v>102000000000</v>
      </c>
      <c r="E286" s="5">
        <v>1.1E+23</v>
      </c>
      <c r="F286" s="2" t="s">
        <v>454</v>
      </c>
      <c r="G286" s="4">
        <v>5.1680749141698199E-5</v>
      </c>
      <c r="H286" s="4">
        <v>0.99940813006361773</v>
      </c>
    </row>
    <row r="287" spans="1:8" ht="23.35" customHeight="1">
      <c r="A287" s="2">
        <v>283</v>
      </c>
      <c r="B287" s="2" t="s">
        <v>251</v>
      </c>
      <c r="C287" s="9">
        <v>44900</v>
      </c>
      <c r="D287" s="5">
        <v>1550000000</v>
      </c>
      <c r="E287" s="5">
        <v>1.1E+23</v>
      </c>
      <c r="F287" s="2" t="s">
        <v>454</v>
      </c>
      <c r="G287" s="4">
        <v>5.1680749141698199E-5</v>
      </c>
      <c r="H287" s="4">
        <v>0.99945981081275947</v>
      </c>
    </row>
    <row r="288" spans="1:8" ht="23.35" customHeight="1">
      <c r="A288" s="2">
        <v>284</v>
      </c>
      <c r="B288" s="2" t="s">
        <v>88</v>
      </c>
      <c r="C288" s="9">
        <v>45230</v>
      </c>
      <c r="D288" s="5">
        <v>7000000000</v>
      </c>
      <c r="E288" s="5">
        <v>1.0920000000001E+23</v>
      </c>
      <c r="F288" s="2" t="s">
        <v>455</v>
      </c>
      <c r="G288" s="4">
        <v>5.1304889147945086E-5</v>
      </c>
      <c r="H288" s="4">
        <v>0.99951111570190732</v>
      </c>
    </row>
    <row r="289" spans="1:8" ht="23.35" customHeight="1">
      <c r="A289" s="2">
        <v>285</v>
      </c>
      <c r="B289" s="2" t="s">
        <v>80</v>
      </c>
      <c r="C289" s="9">
        <v>45189</v>
      </c>
      <c r="D289" s="5">
        <v>7000000000</v>
      </c>
      <c r="E289" s="5">
        <v>1.092E+23</v>
      </c>
      <c r="F289" s="2" t="s">
        <v>455</v>
      </c>
      <c r="G289" s="4">
        <v>5.130488914794039E-5</v>
      </c>
      <c r="H289" s="4">
        <v>0.99956242059105527</v>
      </c>
    </row>
    <row r="290" spans="1:8" ht="23.35" customHeight="1">
      <c r="A290" s="2">
        <v>286</v>
      </c>
      <c r="B290" s="2" t="s">
        <v>207</v>
      </c>
      <c r="C290" s="9">
        <v>43768</v>
      </c>
      <c r="D290" s="5">
        <v>139000000</v>
      </c>
      <c r="E290" s="5">
        <v>1.0773400001E+23</v>
      </c>
      <c r="F290" s="2" t="s">
        <v>466</v>
      </c>
      <c r="G290" s="4">
        <v>5.0616125714077465E-5</v>
      </c>
      <c r="H290" s="4">
        <v>0.99961303671676938</v>
      </c>
    </row>
    <row r="291" spans="1:8" ht="23.35" customHeight="1">
      <c r="A291" s="2">
        <v>287</v>
      </c>
      <c r="B291" s="2" t="s">
        <v>216</v>
      </c>
      <c r="C291" s="9">
        <v>45040</v>
      </c>
      <c r="D291" s="5">
        <v>13000000000</v>
      </c>
      <c r="E291" s="5">
        <v>1.0699776E+23</v>
      </c>
      <c r="F291" s="2" t="s">
        <v>465</v>
      </c>
      <c r="G291" s="4">
        <v>5.0270221757123906E-5</v>
      </c>
      <c r="H291" s="4">
        <v>0.99966330693852645</v>
      </c>
    </row>
    <row r="292" spans="1:8" ht="23.35" customHeight="1">
      <c r="A292" s="2">
        <v>288</v>
      </c>
      <c r="B292" s="2" t="s">
        <v>305</v>
      </c>
      <c r="C292" s="9">
        <v>45493</v>
      </c>
      <c r="D292" s="5">
        <v>7000000000</v>
      </c>
      <c r="E292" s="5">
        <v>1.0500000000000001E+23</v>
      </c>
      <c r="F292" s="2" t="s">
        <v>454</v>
      </c>
      <c r="G292" s="4">
        <v>4.9331624180711917E-5</v>
      </c>
      <c r="H292" s="4">
        <v>0.9997126385627072</v>
      </c>
    </row>
    <row r="293" spans="1:8" ht="23.35" customHeight="1">
      <c r="A293" s="2">
        <v>289</v>
      </c>
      <c r="B293" s="2" t="s">
        <v>268</v>
      </c>
      <c r="C293" s="9">
        <v>45238</v>
      </c>
      <c r="D293" s="5">
        <v>30000000000</v>
      </c>
      <c r="E293" s="5">
        <v>1.0372049000000001E+23</v>
      </c>
      <c r="F293" s="2" t="s">
        <v>473</v>
      </c>
      <c r="G293" s="4">
        <v>4.8730478404945605E-5</v>
      </c>
      <c r="H293" s="4">
        <v>0.99976136904111212</v>
      </c>
    </row>
    <row r="294" spans="1:8" ht="23.35" customHeight="1">
      <c r="A294" s="2">
        <v>290</v>
      </c>
      <c r="B294" s="2" t="s">
        <v>274</v>
      </c>
      <c r="C294" s="9">
        <v>45323</v>
      </c>
      <c r="D294" s="5">
        <v>7000000000</v>
      </c>
      <c r="E294" s="5">
        <v>1.0331999999999999E+23</v>
      </c>
      <c r="F294" s="2" t="s">
        <v>454</v>
      </c>
      <c r="G294" s="4">
        <v>4.8542318193820519E-5</v>
      </c>
      <c r="H294" s="4">
        <v>0.99980991135930597</v>
      </c>
    </row>
    <row r="295" spans="1:8" ht="23.35" customHeight="1">
      <c r="A295" s="2">
        <v>291</v>
      </c>
      <c r="B295" s="2" t="s">
        <v>204</v>
      </c>
      <c r="C295" s="9">
        <v>45960</v>
      </c>
      <c r="D295" s="5">
        <v>48000000000</v>
      </c>
      <c r="E295" s="5">
        <v>1.026E+23</v>
      </c>
      <c r="F295" s="2" t="s">
        <v>455</v>
      </c>
      <c r="G295" s="4">
        <v>4.8204044199438497E-5</v>
      </c>
      <c r="H295" s="4">
        <v>0.99985811540350544</v>
      </c>
    </row>
    <row r="296" spans="1:8" ht="23.35" customHeight="1">
      <c r="A296" s="2">
        <v>292</v>
      </c>
      <c r="B296" s="2" t="s">
        <v>81</v>
      </c>
      <c r="C296" s="9">
        <v>45197</v>
      </c>
      <c r="D296" s="5">
        <v>7000000000</v>
      </c>
      <c r="E296" s="5">
        <v>1.01E+23</v>
      </c>
      <c r="F296" s="2" t="s">
        <v>455</v>
      </c>
      <c r="G296" s="4">
        <v>4.7452324211922885E-5</v>
      </c>
      <c r="H296" s="4">
        <v>0.99990556772771733</v>
      </c>
    </row>
    <row r="297" spans="1:8" ht="23.35" customHeight="1">
      <c r="A297" s="2">
        <v>293</v>
      </c>
      <c r="B297" s="2" t="s">
        <v>330</v>
      </c>
      <c r="C297" s="9">
        <v>45707</v>
      </c>
      <c r="D297" s="5">
        <v>7000000000</v>
      </c>
      <c r="E297" s="5">
        <v>1.008E+23</v>
      </c>
      <c r="F297" s="2" t="s">
        <v>454</v>
      </c>
      <c r="G297" s="4">
        <v>4.7358359213483438E-5</v>
      </c>
      <c r="H297" s="4">
        <v>0.99995292608693087</v>
      </c>
    </row>
    <row r="298" spans="1:8" ht="23.35" customHeight="1">
      <c r="A298" s="2">
        <v>294</v>
      </c>
      <c r="B298" s="2" t="s">
        <v>214</v>
      </c>
      <c r="C298" s="9">
        <v>44788</v>
      </c>
      <c r="D298" s="5">
        <v>30000000000</v>
      </c>
      <c r="E298" s="5">
        <v>1.0019457E+23</v>
      </c>
      <c r="F298" s="2" t="s">
        <v>467</v>
      </c>
      <c r="G298" s="4">
        <v>4.7073913068457452E-5</v>
      </c>
      <c r="H298" s="4">
        <v>0.99999999999999933</v>
      </c>
    </row>
    <row r="299" spans="1:8" ht="4.5" customHeight="1"/>
    <row r="300" spans="1:8" ht="4.5" customHeight="1"/>
    <row r="301" spans="1:8" ht="4.5" customHeight="1"/>
    <row r="302" spans="1:8" ht="4.5" customHeight="1"/>
    <row r="303" spans="1:8" ht="4.5" customHeight="1"/>
    <row r="304" spans="1:8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H1"/>
    <mergeCell ref="A2:H2"/>
  </mergeCells>
  <phoneticPr fontId="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>
      <selection activeCell="F11" sqref="F11"/>
    </sheetView>
  </sheetViews>
  <sheetFormatPr defaultRowHeight="13.5"/>
  <cols>
    <col min="1" max="1" width="15" customWidth="1"/>
    <col min="2" max="2" width="14" customWidth="1"/>
    <col min="3" max="3" width="75.125" customWidth="1"/>
  </cols>
  <sheetData>
    <row r="1" spans="1:3" ht="23.35" customHeight="1">
      <c r="A1" s="14" t="s">
        <v>474</v>
      </c>
      <c r="B1" s="14"/>
      <c r="C1" s="14"/>
    </row>
    <row r="2" spans="1:3" ht="23.35" customHeight="1">
      <c r="A2" s="15" t="s">
        <v>475</v>
      </c>
      <c r="B2" s="15"/>
      <c r="C2" s="15"/>
    </row>
    <row r="3" spans="1:3" ht="23.35" customHeight="1"/>
    <row r="4" spans="1:3" ht="23.35" customHeight="1">
      <c r="A4" s="3" t="s">
        <v>360</v>
      </c>
      <c r="B4" s="3" t="s">
        <v>476</v>
      </c>
      <c r="C4" s="3" t="s">
        <v>477</v>
      </c>
    </row>
    <row r="5" spans="1:3" ht="23.35" customHeight="1">
      <c r="A5" s="9">
        <v>44593</v>
      </c>
      <c r="B5" s="2">
        <v>1</v>
      </c>
      <c r="C5" s="10">
        <v>8.8301000000000109E-3</v>
      </c>
    </row>
    <row r="6" spans="1:3" ht="23.35" customHeight="1">
      <c r="A6" s="9">
        <v>44621</v>
      </c>
      <c r="B6" s="2">
        <v>2</v>
      </c>
      <c r="C6" s="10">
        <v>4.0370100000000006E-2</v>
      </c>
    </row>
    <row r="7" spans="1:3" ht="23.35" customHeight="1">
      <c r="A7" s="9">
        <v>44652</v>
      </c>
      <c r="B7" s="2">
        <v>3</v>
      </c>
      <c r="C7" s="10">
        <v>6.9011678400000012E-2</v>
      </c>
    </row>
    <row r="8" spans="1:3" ht="23.35" customHeight="1">
      <c r="A8" s="9">
        <v>44682</v>
      </c>
      <c r="B8" s="2">
        <v>4</v>
      </c>
      <c r="C8" s="10">
        <v>7.8041678400000009E-2</v>
      </c>
    </row>
    <row r="9" spans="1:3" ht="23.35" customHeight="1">
      <c r="A9" s="9">
        <v>44713</v>
      </c>
      <c r="B9" s="2">
        <v>5</v>
      </c>
      <c r="C9" s="10">
        <v>0.11945275776000101</v>
      </c>
    </row>
    <row r="10" spans="1:3" ht="23.35" customHeight="1">
      <c r="A10" s="9">
        <v>44743</v>
      </c>
      <c r="B10" s="2">
        <v>6</v>
      </c>
      <c r="C10" s="10">
        <v>0.12310939776000102</v>
      </c>
    </row>
    <row r="11" spans="1:3" ht="23.35" customHeight="1">
      <c r="A11" s="9">
        <v>44774</v>
      </c>
      <c r="B11" s="2">
        <v>7</v>
      </c>
      <c r="C11" s="10">
        <v>0.13325018911450101</v>
      </c>
    </row>
    <row r="12" spans="1:3" ht="23.35" customHeight="1">
      <c r="A12" s="9">
        <v>44805</v>
      </c>
      <c r="B12" s="2">
        <v>8</v>
      </c>
      <c r="C12" s="10">
        <v>0.13494018911450101</v>
      </c>
    </row>
    <row r="13" spans="1:3" ht="23.35" customHeight="1">
      <c r="A13" s="9">
        <v>44835</v>
      </c>
      <c r="B13" s="2">
        <v>9</v>
      </c>
      <c r="C13" s="10">
        <v>0.13494018911450101</v>
      </c>
    </row>
    <row r="14" spans="1:3" ht="23.35" customHeight="1">
      <c r="A14" s="9">
        <v>44866</v>
      </c>
      <c r="B14" s="2">
        <v>10</v>
      </c>
      <c r="C14" s="10">
        <v>0.138180189114501</v>
      </c>
    </row>
    <row r="15" spans="1:3" ht="23.35" customHeight="1">
      <c r="A15" s="9">
        <v>44896</v>
      </c>
      <c r="B15" s="2">
        <v>11</v>
      </c>
      <c r="C15" s="10">
        <v>0.13928018911450099</v>
      </c>
    </row>
    <row r="16" spans="1:3" ht="23.35" customHeight="1">
      <c r="A16" s="9">
        <v>44927</v>
      </c>
      <c r="B16" s="2">
        <v>12</v>
      </c>
      <c r="C16" s="10">
        <v>0.13928018911450099</v>
      </c>
    </row>
    <row r="17" spans="1:3" ht="23.35" customHeight="1">
      <c r="A17" s="9">
        <v>44958</v>
      </c>
      <c r="B17" s="2">
        <v>13</v>
      </c>
      <c r="C17" s="10">
        <v>0.1494426691145011</v>
      </c>
    </row>
    <row r="18" spans="1:3" ht="23.35" customHeight="1">
      <c r="A18" s="9">
        <v>44986</v>
      </c>
      <c r="B18" s="2">
        <v>14</v>
      </c>
      <c r="C18" s="10">
        <v>0.37127266911450107</v>
      </c>
    </row>
    <row r="19" spans="1:3" ht="23.35" customHeight="1">
      <c r="A19" s="9">
        <v>45017</v>
      </c>
      <c r="B19" s="2">
        <v>15</v>
      </c>
      <c r="C19" s="10">
        <v>0.41124264671450106</v>
      </c>
    </row>
    <row r="20" spans="1:3" ht="23.35" customHeight="1">
      <c r="A20" s="9">
        <v>45047</v>
      </c>
      <c r="B20" s="2">
        <v>16</v>
      </c>
      <c r="C20" s="10">
        <v>0.48464264671450108</v>
      </c>
    </row>
    <row r="21" spans="1:3" ht="23.35" customHeight="1">
      <c r="A21" s="9">
        <v>45078</v>
      </c>
      <c r="B21" s="2">
        <v>17</v>
      </c>
      <c r="C21" s="10">
        <v>0.49653364671450118</v>
      </c>
    </row>
    <row r="22" spans="1:3" ht="23.35" customHeight="1">
      <c r="A22" s="9">
        <v>45108</v>
      </c>
      <c r="B22" s="2">
        <v>18</v>
      </c>
      <c r="C22" s="10">
        <v>0.56515764671450119</v>
      </c>
    </row>
    <row r="23" spans="1:3" ht="23.35" customHeight="1">
      <c r="A23" s="9">
        <v>45139</v>
      </c>
      <c r="B23" s="2">
        <v>19</v>
      </c>
      <c r="C23" s="10">
        <v>0.59197364671450114</v>
      </c>
    </row>
    <row r="24" spans="1:3" ht="23.35" customHeight="1">
      <c r="A24" s="9">
        <v>45170</v>
      </c>
      <c r="B24" s="2">
        <v>20</v>
      </c>
      <c r="C24" s="10">
        <v>0.70757564671450113</v>
      </c>
    </row>
    <row r="25" spans="1:3" ht="23.35" customHeight="1">
      <c r="A25" s="9">
        <v>45200</v>
      </c>
      <c r="B25" s="2">
        <v>21</v>
      </c>
      <c r="C25" s="10">
        <v>0.727925646714501</v>
      </c>
    </row>
    <row r="26" spans="1:3" ht="23.35" customHeight="1">
      <c r="A26" s="9">
        <v>45231</v>
      </c>
      <c r="B26" s="2">
        <v>22</v>
      </c>
      <c r="C26" s="10">
        <v>0.9120428516146013</v>
      </c>
    </row>
    <row r="27" spans="1:3" ht="23.35" customHeight="1">
      <c r="A27" s="9">
        <v>45261</v>
      </c>
      <c r="B27" s="2">
        <v>23</v>
      </c>
      <c r="C27" s="10">
        <v>1.4408068516246013</v>
      </c>
    </row>
    <row r="28" spans="1:3" ht="23.35" customHeight="1">
      <c r="A28" s="9">
        <v>45292</v>
      </c>
      <c r="B28" s="2">
        <v>24</v>
      </c>
      <c r="C28" s="10">
        <v>1.4685268516246013</v>
      </c>
    </row>
    <row r="29" spans="1:3" ht="23.35" customHeight="1">
      <c r="A29" s="9">
        <v>45323</v>
      </c>
      <c r="B29" s="2">
        <v>25</v>
      </c>
      <c r="C29" s="10">
        <v>1.6690613303682014</v>
      </c>
    </row>
    <row r="30" spans="1:3" ht="23.35" customHeight="1">
      <c r="A30" s="9">
        <v>45352</v>
      </c>
      <c r="B30" s="2">
        <v>26</v>
      </c>
      <c r="C30" s="10">
        <v>1.9775213403682015</v>
      </c>
    </row>
    <row r="31" spans="1:3" ht="23.35" customHeight="1">
      <c r="A31" s="9">
        <v>45383</v>
      </c>
      <c r="B31" s="2">
        <v>27</v>
      </c>
      <c r="C31" s="10">
        <v>2.2028011762682014</v>
      </c>
    </row>
    <row r="32" spans="1:3" ht="23.35" customHeight="1">
      <c r="A32" s="9">
        <v>45413</v>
      </c>
      <c r="B32" s="2">
        <v>28</v>
      </c>
      <c r="C32" s="10">
        <v>2.2827319973694014</v>
      </c>
    </row>
    <row r="33" spans="1:3" ht="23.35" customHeight="1">
      <c r="A33" s="9">
        <v>45444</v>
      </c>
      <c r="B33" s="2">
        <v>29</v>
      </c>
      <c r="C33" s="10">
        <v>2.8239102104694016</v>
      </c>
    </row>
    <row r="34" spans="1:3" ht="23.35" customHeight="1">
      <c r="A34" s="9">
        <v>45474</v>
      </c>
      <c r="B34" s="2">
        <v>30</v>
      </c>
      <c r="C34" s="10">
        <v>3.558892810469402</v>
      </c>
    </row>
    <row r="35" spans="1:3" ht="23.35" customHeight="1">
      <c r="A35" s="9">
        <v>45505</v>
      </c>
      <c r="B35" s="2">
        <v>31</v>
      </c>
      <c r="C35" s="10">
        <v>3.8769159205694019</v>
      </c>
    </row>
    <row r="36" spans="1:3" ht="23.35" customHeight="1">
      <c r="A36" s="9">
        <v>45536</v>
      </c>
      <c r="B36" s="2">
        <v>32</v>
      </c>
      <c r="C36" s="10">
        <v>4.122085820569402</v>
      </c>
    </row>
    <row r="37" spans="1:3" ht="23.35" customHeight="1">
      <c r="A37" s="9">
        <v>45566</v>
      </c>
      <c r="B37" s="2">
        <v>33</v>
      </c>
      <c r="C37" s="10">
        <v>4.4145458205694021</v>
      </c>
    </row>
    <row r="38" spans="1:3" ht="23.35" customHeight="1">
      <c r="A38" s="9">
        <v>45597</v>
      </c>
      <c r="B38" s="2">
        <v>34</v>
      </c>
      <c r="C38" s="10">
        <v>4.4601945205694022</v>
      </c>
    </row>
    <row r="39" spans="1:3" ht="23.35" customHeight="1">
      <c r="A39" s="9">
        <v>45627</v>
      </c>
      <c r="B39" s="2">
        <v>35</v>
      </c>
      <c r="C39" s="10">
        <v>4.6692680715694026</v>
      </c>
    </row>
    <row r="40" spans="1:3" ht="23.35" customHeight="1">
      <c r="A40" s="9">
        <v>45658</v>
      </c>
      <c r="B40" s="2">
        <v>36</v>
      </c>
      <c r="C40" s="10">
        <v>4.8269245515694026</v>
      </c>
    </row>
    <row r="41" spans="1:3" ht="23.35" customHeight="1">
      <c r="A41" s="9">
        <v>45689</v>
      </c>
      <c r="B41" s="2">
        <v>37</v>
      </c>
      <c r="C41" s="10">
        <v>12.648194759569403</v>
      </c>
    </row>
    <row r="42" spans="1:3" ht="23.35" customHeight="1">
      <c r="A42" s="9">
        <v>45717</v>
      </c>
      <c r="B42" s="2">
        <v>38</v>
      </c>
      <c r="C42" s="10">
        <v>13.192390876569403</v>
      </c>
    </row>
    <row r="43" spans="1:3" ht="23.35" customHeight="1">
      <c r="A43" s="9">
        <v>45748</v>
      </c>
      <c r="B43" s="2">
        <v>39</v>
      </c>
      <c r="C43" s="10">
        <v>14.237235646269415</v>
      </c>
    </row>
    <row r="44" spans="1:3" ht="23.35" customHeight="1">
      <c r="A44" s="9">
        <v>45778</v>
      </c>
      <c r="B44" s="2">
        <v>40</v>
      </c>
      <c r="C44" s="10">
        <v>14.383100306269416</v>
      </c>
    </row>
    <row r="45" spans="1:3" ht="23.35" customHeight="1">
      <c r="A45" s="9">
        <v>45809</v>
      </c>
      <c r="B45" s="2">
        <v>41</v>
      </c>
      <c r="C45" s="10">
        <v>14.520210299269415</v>
      </c>
    </row>
    <row r="46" spans="1:3" ht="23.35" customHeight="1">
      <c r="A46" s="9">
        <v>45839</v>
      </c>
      <c r="B46" s="2">
        <v>42</v>
      </c>
      <c r="C46" s="10">
        <v>19.704025155269516</v>
      </c>
    </row>
    <row r="47" spans="1:3" ht="23.35" customHeight="1">
      <c r="A47" s="9">
        <v>45870</v>
      </c>
      <c r="B47" s="2">
        <v>43</v>
      </c>
      <c r="C47" s="10">
        <v>20.604302144469518</v>
      </c>
    </row>
    <row r="48" spans="1:3" ht="23.35" customHeight="1">
      <c r="A48" s="9">
        <v>45901</v>
      </c>
      <c r="B48" s="2">
        <v>44</v>
      </c>
      <c r="C48" s="10">
        <v>20.993802724469518</v>
      </c>
    </row>
    <row r="49" spans="1:3" ht="23.35" customHeight="1">
      <c r="A49" s="9">
        <v>45931</v>
      </c>
      <c r="B49" s="2">
        <v>45</v>
      </c>
      <c r="C49" s="10">
        <v>21.179892334469518</v>
      </c>
    </row>
    <row r="50" spans="1:3" ht="23.35" customHeight="1">
      <c r="A50" s="9">
        <v>45962</v>
      </c>
      <c r="B50" s="2">
        <v>46</v>
      </c>
      <c r="C50" s="10">
        <v>21.190892334469517</v>
      </c>
    </row>
    <row r="51" spans="1:3" ht="23.35" customHeight="1">
      <c r="A51" s="9">
        <v>45992</v>
      </c>
      <c r="B51" s="2">
        <v>47</v>
      </c>
      <c r="C51" s="10">
        <v>21.206092334469517</v>
      </c>
    </row>
    <row r="52" spans="1:3" ht="4.5" customHeight="1"/>
    <row r="53" spans="1:3" ht="4.5" customHeight="1"/>
    <row r="54" spans="1:3" ht="4.5" customHeight="1"/>
    <row r="55" spans="1:3" ht="4.5" customHeight="1"/>
    <row r="56" spans="1:3" ht="4.5" customHeight="1"/>
    <row r="57" spans="1:3" ht="4.5" customHeight="1"/>
    <row r="58" spans="1:3" ht="4.5" customHeight="1"/>
    <row r="59" spans="1:3" ht="4.5" customHeight="1"/>
    <row r="60" spans="1:3" ht="4.5" customHeight="1"/>
    <row r="61" spans="1:3" ht="4.5" customHeight="1"/>
    <row r="62" spans="1:3" ht="4.5" customHeight="1"/>
    <row r="63" spans="1:3" ht="4.5" customHeight="1"/>
    <row r="64" spans="1:3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C1"/>
    <mergeCell ref="A2:C2"/>
  </mergeCells>
  <phoneticPr fontId="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00"/>
  <sheetViews>
    <sheetView workbookViewId="0">
      <selection activeCell="E10" sqref="E10"/>
    </sheetView>
  </sheetViews>
  <sheetFormatPr defaultRowHeight="13.5"/>
  <cols>
    <col min="1" max="1" width="15" customWidth="1"/>
    <col min="2" max="2" width="10" customWidth="1"/>
    <col min="3" max="3" width="22" customWidth="1"/>
    <col min="4" max="4" width="14" customWidth="1"/>
    <col min="5" max="5" width="15" customWidth="1"/>
    <col min="6" max="9" width="14" customWidth="1"/>
    <col min="10" max="10" width="15" customWidth="1"/>
  </cols>
  <sheetData>
    <row r="1" spans="1:10" ht="33.4" customHeight="1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3.4" customHeight="1">
      <c r="A2" s="15" t="s">
        <v>478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33.4" customHeight="1"/>
    <row r="4" spans="1:10" ht="33.4" customHeight="1">
      <c r="A4" s="3" t="s">
        <v>360</v>
      </c>
      <c r="B4" s="3" t="s">
        <v>479</v>
      </c>
      <c r="C4" s="3" t="s">
        <v>480</v>
      </c>
      <c r="D4" s="3" t="s">
        <v>481</v>
      </c>
      <c r="E4" s="3" t="s">
        <v>482</v>
      </c>
      <c r="F4" s="3" t="s">
        <v>483</v>
      </c>
      <c r="G4" s="3" t="s">
        <v>484</v>
      </c>
      <c r="H4" s="3" t="s">
        <v>485</v>
      </c>
      <c r="I4" s="3" t="s">
        <v>486</v>
      </c>
      <c r="J4" s="3" t="s">
        <v>487</v>
      </c>
    </row>
    <row r="5" spans="1:10" ht="33.4" customHeight="1">
      <c r="A5" s="9">
        <v>45839</v>
      </c>
      <c r="B5" s="2">
        <v>42</v>
      </c>
      <c r="C5" s="11">
        <v>19.704025155269516</v>
      </c>
      <c r="D5" s="11">
        <v>7.3445294999999993</v>
      </c>
      <c r="E5" s="11">
        <v>19.764617024092477</v>
      </c>
      <c r="F5" s="11">
        <v>14.265004340000001</v>
      </c>
      <c r="G5" s="11">
        <v>17.436199759999997</v>
      </c>
      <c r="H5" s="11">
        <v>18.828944589999992</v>
      </c>
      <c r="I5" s="11">
        <v>5.3532181752184425</v>
      </c>
      <c r="J5" s="11">
        <v>5.6889469249132159</v>
      </c>
    </row>
    <row r="6" spans="1:10" ht="33.4" customHeight="1">
      <c r="A6" s="9">
        <v>45870</v>
      </c>
      <c r="B6" s="2">
        <v>43</v>
      </c>
      <c r="C6" s="11">
        <v>20.604302144469518</v>
      </c>
      <c r="D6" s="11">
        <v>7.5193992499999993</v>
      </c>
      <c r="E6" s="11">
        <v>23.009210449436374</v>
      </c>
      <c r="F6" s="11">
        <v>15.309273160000004</v>
      </c>
      <c r="G6" s="11">
        <v>19.386473989999995</v>
      </c>
      <c r="H6" s="11">
        <v>21.447264400000023</v>
      </c>
      <c r="I6" s="11">
        <v>5.6074606242494953</v>
      </c>
      <c r="J6" s="11">
        <v>5.7572365596470298</v>
      </c>
    </row>
    <row r="7" spans="1:10" ht="33.4" customHeight="1">
      <c r="A7" s="9">
        <v>45901</v>
      </c>
      <c r="B7" s="2">
        <v>44</v>
      </c>
      <c r="C7" s="11">
        <v>20.993802724469518</v>
      </c>
      <c r="D7" s="11">
        <v>7.6942689999999994</v>
      </c>
      <c r="E7" s="11">
        <v>26.786441895691674</v>
      </c>
      <c r="F7" s="11">
        <v>16.388685160000001</v>
      </c>
      <c r="G7" s="11">
        <v>21.477239680000004</v>
      </c>
      <c r="H7" s="11">
        <v>24.346071390000017</v>
      </c>
      <c r="I7" s="11">
        <v>5.8675153193713987</v>
      </c>
      <c r="J7" s="11">
        <v>5.8239561778048206</v>
      </c>
    </row>
    <row r="8" spans="1:10" ht="33.4" customHeight="1">
      <c r="A8" s="9">
        <v>45931</v>
      </c>
      <c r="B8" s="2">
        <v>45</v>
      </c>
      <c r="C8" s="11">
        <v>21.179892334469518</v>
      </c>
      <c r="D8" s="11">
        <v>7.8691387499999994</v>
      </c>
      <c r="E8" s="11">
        <v>31.183750133800991</v>
      </c>
      <c r="F8" s="11">
        <v>17.503240340000001</v>
      </c>
      <c r="G8" s="11">
        <v>23.713285370000008</v>
      </c>
      <c r="H8" s="11">
        <v>27.545007460000008</v>
      </c>
      <c r="I8" s="11">
        <v>6.1333785082431431</v>
      </c>
      <c r="J8" s="11">
        <v>5.889176351046796</v>
      </c>
    </row>
    <row r="9" spans="1:10" ht="33.4" customHeight="1">
      <c r="A9" s="9">
        <v>45962</v>
      </c>
      <c r="B9" s="2">
        <v>46</v>
      </c>
      <c r="C9" s="11">
        <v>21.190892334469517</v>
      </c>
      <c r="D9" s="11">
        <v>8.0440085000000003</v>
      </c>
      <c r="E9" s="11">
        <v>36.302928033294982</v>
      </c>
      <c r="F9" s="11">
        <v>18.652938700000007</v>
      </c>
      <c r="G9" s="11">
        <v>26.099399599999995</v>
      </c>
      <c r="H9" s="11">
        <v>31.06437475000002</v>
      </c>
      <c r="I9" s="11">
        <v>6.4050465252093689</v>
      </c>
      <c r="J9" s="11">
        <v>5.9529629971813343</v>
      </c>
    </row>
    <row r="10" spans="1:10" ht="33.4" customHeight="1">
      <c r="A10" s="9">
        <v>45992</v>
      </c>
      <c r="B10" s="2">
        <v>47</v>
      </c>
      <c r="C10" s="11">
        <v>21.206092334469517</v>
      </c>
      <c r="D10" s="11">
        <v>8.2188782499999995</v>
      </c>
      <c r="E10" s="11">
        <v>42.26247895573286</v>
      </c>
      <c r="F10" s="11">
        <v>19.837780240000001</v>
      </c>
      <c r="G10" s="11">
        <v>28.640370909999991</v>
      </c>
      <c r="H10" s="11">
        <v>34.925135640000015</v>
      </c>
      <c r="I10" s="11">
        <v>6.6825157874362366</v>
      </c>
      <c r="J10" s="11">
        <v>6.0153777805770208</v>
      </c>
    </row>
    <row r="11" spans="1:10" ht="33.4" customHeight="1">
      <c r="A11" s="13" t="s">
        <v>488</v>
      </c>
      <c r="B11" s="2"/>
      <c r="C11" s="11"/>
      <c r="D11" s="11">
        <v>169.92230985299537</v>
      </c>
      <c r="E11" s="11">
        <v>135.19402254563028</v>
      </c>
      <c r="F11" s="11">
        <v>16.776440614153032</v>
      </c>
      <c r="G11" s="11">
        <v>15.439978419008645</v>
      </c>
      <c r="H11" s="11">
        <v>56.487758559321236</v>
      </c>
      <c r="I11" s="11">
        <v>219.2680962597467</v>
      </c>
      <c r="J11" s="11">
        <v>223.95671882735175</v>
      </c>
    </row>
    <row r="12" spans="1:10" ht="4.5" customHeight="1"/>
    <row r="13" spans="1:10" ht="4.5" customHeight="1"/>
    <row r="14" spans="1:10" ht="4.5" customHeight="1"/>
    <row r="15" spans="1:10" ht="4.5" customHeight="1"/>
    <row r="16" spans="1:10" ht="4.5" customHeight="1"/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J1"/>
    <mergeCell ref="A2:J2"/>
  </mergeCells>
  <phoneticPr fontId="6" type="noConversion"/>
  <conditionalFormatting sqref="D11:J11">
    <cfRule type="colorScale" priority="1">
      <colorScale>
        <cfvo type="min"/>
        <cfvo type="percentile" val="50"/>
        <cfvo type="max"/>
        <color rgb="FFC6EFCE"/>
        <color rgb="FFFFEB9C"/>
        <color rgb="FFFFC7CE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0"/>
  <sheetViews>
    <sheetView workbookViewId="0">
      <selection activeCell="D67" sqref="D67"/>
    </sheetView>
  </sheetViews>
  <sheetFormatPr defaultRowHeight="13.5"/>
  <cols>
    <col min="1" max="1" width="27" customWidth="1"/>
    <col min="2" max="3" width="16" customWidth="1"/>
    <col min="4" max="4" width="14" customWidth="1"/>
    <col min="5" max="5" width="16" customWidth="1"/>
    <col min="6" max="6" width="22" customWidth="1"/>
    <col min="7" max="7" width="17" customWidth="1"/>
    <col min="8" max="8" width="20" customWidth="1"/>
    <col min="9" max="9" width="14" customWidth="1"/>
    <col min="10" max="10" width="16" customWidth="1"/>
    <col min="11" max="11" width="24" customWidth="1"/>
  </cols>
  <sheetData>
    <row r="1" spans="1:11" ht="33.85" customHeight="1">
      <c r="A1" s="14" t="s">
        <v>489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85" customHeight="1">
      <c r="A2" s="15" t="s">
        <v>490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33.85" customHeight="1"/>
    <row r="4" spans="1:11" ht="33.85" customHeight="1">
      <c r="A4" s="3" t="s">
        <v>404</v>
      </c>
      <c r="B4" s="3" t="s">
        <v>491</v>
      </c>
      <c r="C4" s="3" t="s">
        <v>492</v>
      </c>
      <c r="D4" s="3" t="s">
        <v>493</v>
      </c>
      <c r="E4" s="3" t="s">
        <v>494</v>
      </c>
      <c r="F4" s="3" t="s">
        <v>495</v>
      </c>
      <c r="G4" s="3" t="s">
        <v>496</v>
      </c>
      <c r="H4" s="3" t="s">
        <v>497</v>
      </c>
      <c r="I4" s="3" t="s">
        <v>498</v>
      </c>
      <c r="J4" s="3" t="s">
        <v>499</v>
      </c>
      <c r="K4" s="3" t="s">
        <v>500</v>
      </c>
    </row>
    <row r="5" spans="1:11" ht="33.85" customHeight="1">
      <c r="A5" s="2" t="s">
        <v>501</v>
      </c>
      <c r="B5" s="7">
        <v>0.40200000000000002</v>
      </c>
      <c r="C5" s="2">
        <v>2030</v>
      </c>
      <c r="D5" s="2">
        <v>2028</v>
      </c>
      <c r="E5" s="2">
        <v>40</v>
      </c>
      <c r="F5" s="4">
        <v>1.005E-2</v>
      </c>
      <c r="G5" s="7">
        <v>0.32600000000000001</v>
      </c>
      <c r="H5" s="2">
        <v>2030</v>
      </c>
      <c r="I5" s="2">
        <v>2032</v>
      </c>
      <c r="J5" s="2">
        <v>40</v>
      </c>
      <c r="K5" s="4">
        <v>8.150000000000001E-3</v>
      </c>
    </row>
    <row r="6" spans="1:11" ht="33.85" customHeight="1">
      <c r="A6" s="2" t="s">
        <v>502</v>
      </c>
      <c r="B6" s="7">
        <v>5.8000000000000003E-2</v>
      </c>
      <c r="C6" s="2">
        <v>0.40400000000000003</v>
      </c>
      <c r="D6" s="2">
        <v>0.379</v>
      </c>
      <c r="E6" s="2">
        <v>6.2</v>
      </c>
      <c r="F6" s="4">
        <v>9.35483870967742E-3</v>
      </c>
      <c r="G6" s="7">
        <v>5.8000000000000003E-2</v>
      </c>
      <c r="H6" s="2">
        <v>0.40400000000000003</v>
      </c>
      <c r="I6" s="2">
        <v>0.42899999999999999</v>
      </c>
      <c r="J6" s="2">
        <v>6.2</v>
      </c>
      <c r="K6" s="4">
        <v>9.35483870967742E-3</v>
      </c>
    </row>
    <row r="7" spans="1:11" ht="33.85" customHeight="1">
      <c r="A7" s="2" t="s">
        <v>414</v>
      </c>
      <c r="B7" s="7">
        <v>0.39900000000000002</v>
      </c>
      <c r="C7" s="2">
        <v>2</v>
      </c>
      <c r="D7" s="2">
        <v>1</v>
      </c>
      <c r="E7" s="2">
        <v>50</v>
      </c>
      <c r="F7" s="4">
        <v>7.980000000000001E-3</v>
      </c>
      <c r="G7" s="7">
        <v>1.198</v>
      </c>
      <c r="H7" s="2">
        <v>2</v>
      </c>
      <c r="I7" s="2">
        <v>5</v>
      </c>
      <c r="J7" s="2">
        <v>150</v>
      </c>
      <c r="K7" s="4">
        <v>7.9866666666666662E-3</v>
      </c>
    </row>
    <row r="8" spans="1:11" ht="33.85" customHeight="1">
      <c r="A8" s="2" t="s">
        <v>503</v>
      </c>
      <c r="B8" s="7">
        <v>8.5999999999999993E-2</v>
      </c>
      <c r="C8" s="2">
        <v>0.375</v>
      </c>
      <c r="D8" s="2">
        <v>0.42</v>
      </c>
      <c r="E8" s="2">
        <v>12</v>
      </c>
      <c r="F8" s="4">
        <v>7.1666666666666658E-3</v>
      </c>
      <c r="G8" s="7">
        <v>0.109</v>
      </c>
      <c r="H8" s="2">
        <v>0.375</v>
      </c>
      <c r="I8" s="2">
        <v>0.33</v>
      </c>
      <c r="J8" s="2">
        <v>12</v>
      </c>
      <c r="K8" s="4">
        <v>9.0833333333333339E-3</v>
      </c>
    </row>
    <row r="9" spans="1:11" ht="33.85" customHeight="1">
      <c r="A9" s="2" t="s">
        <v>504</v>
      </c>
      <c r="B9" s="7">
        <v>4.7E-2</v>
      </c>
      <c r="C9" s="2">
        <v>0.314</v>
      </c>
      <c r="D9" s="2">
        <v>0.247</v>
      </c>
      <c r="E9" s="2">
        <v>21.3</v>
      </c>
      <c r="F9" s="4">
        <v>2.2065727699530514E-3</v>
      </c>
      <c r="G9" s="7">
        <v>3.3000000000000002E-2</v>
      </c>
      <c r="H9" s="2">
        <v>0.314</v>
      </c>
      <c r="I9" s="2">
        <v>0.36</v>
      </c>
      <c r="J9" s="2">
        <v>14.6</v>
      </c>
      <c r="K9" s="4">
        <v>2.2602739726027398E-3</v>
      </c>
    </row>
    <row r="10" spans="1:11" ht="33.85" customHeight="1">
      <c r="A10" s="2" t="s">
        <v>505</v>
      </c>
      <c r="B10" s="7">
        <v>7.6999999999999999E-2</v>
      </c>
      <c r="C10" s="2">
        <v>0.73799999999999999</v>
      </c>
      <c r="D10" s="2">
        <v>0.4</v>
      </c>
      <c r="E10" s="2">
        <v>45.8</v>
      </c>
      <c r="F10" s="4">
        <v>1.6812227074235809E-3</v>
      </c>
      <c r="G10" s="7">
        <v>0.13700000000000001</v>
      </c>
      <c r="H10" s="2">
        <v>0.73799999999999999</v>
      </c>
      <c r="I10" s="2">
        <v>1.341</v>
      </c>
      <c r="J10" s="2">
        <v>81.7</v>
      </c>
      <c r="K10" s="4">
        <v>1.6768665850673196E-3</v>
      </c>
    </row>
    <row r="11" spans="1:11" ht="33.85" customHeight="1">
      <c r="A11" s="2" t="s">
        <v>416</v>
      </c>
      <c r="B11" s="7">
        <v>8.4000000000000005E-2</v>
      </c>
      <c r="C11" s="2">
        <v>10</v>
      </c>
      <c r="D11" s="2">
        <v>5</v>
      </c>
      <c r="E11" s="2">
        <v>50</v>
      </c>
      <c r="F11" s="4">
        <v>1.6800000000000001E-3</v>
      </c>
      <c r="G11" s="7">
        <v>8.4000000000000005E-2</v>
      </c>
      <c r="H11" s="2">
        <v>10</v>
      </c>
      <c r="I11" s="2">
        <v>15</v>
      </c>
      <c r="J11" s="2">
        <v>50</v>
      </c>
      <c r="K11" s="4">
        <v>1.6800000000000001E-3</v>
      </c>
    </row>
    <row r="12" spans="1:11" ht="33.85" customHeight="1">
      <c r="A12" s="2" t="s">
        <v>506</v>
      </c>
      <c r="B12" s="7">
        <v>2.5000000000000001E-2</v>
      </c>
      <c r="C12" s="2">
        <v>0.22900000000000001</v>
      </c>
      <c r="D12" s="2">
        <v>0</v>
      </c>
      <c r="E12" s="2">
        <v>22.9</v>
      </c>
      <c r="F12" s="4">
        <v>1.0917030567685591E-3</v>
      </c>
      <c r="G12" s="7">
        <v>2.5000000000000001E-2</v>
      </c>
      <c r="H12" s="2">
        <v>0.22900000000000001</v>
      </c>
      <c r="I12" s="2">
        <v>0.45800000000000002</v>
      </c>
      <c r="J12" s="2">
        <v>22.9</v>
      </c>
      <c r="K12" s="4">
        <v>1.0917030567685591E-3</v>
      </c>
    </row>
    <row r="13" spans="1:11" ht="33.85" customHeight="1">
      <c r="A13" s="2" t="s">
        <v>421</v>
      </c>
      <c r="B13" s="7">
        <v>3.3000000000000002E-2</v>
      </c>
      <c r="C13" s="2">
        <v>1.1200000000000001</v>
      </c>
      <c r="D13" s="2">
        <v>1.08</v>
      </c>
      <c r="E13" s="2">
        <v>33.299999999999997</v>
      </c>
      <c r="F13" s="4">
        <v>9.9099099099099106E-4</v>
      </c>
      <c r="G13" s="7">
        <v>6.6000000000000003E-2</v>
      </c>
      <c r="H13" s="2">
        <v>1.1200000000000001</v>
      </c>
      <c r="I13" s="2">
        <v>1.2</v>
      </c>
      <c r="J13" s="2">
        <v>66.7</v>
      </c>
      <c r="K13" s="4">
        <v>9.8950524737631182E-4</v>
      </c>
    </row>
    <row r="14" spans="1:11" ht="33.85" customHeight="1">
      <c r="A14" s="2" t="s">
        <v>507</v>
      </c>
      <c r="B14" s="7">
        <v>1.0999999999999999E-2</v>
      </c>
      <c r="C14" s="2">
        <v>18</v>
      </c>
      <c r="D14" s="2">
        <v>12</v>
      </c>
      <c r="E14" s="2">
        <v>33.299999999999997</v>
      </c>
      <c r="F14" s="4">
        <v>3.3033033033033035E-4</v>
      </c>
      <c r="G14" s="7">
        <v>1.0999999999999999E-2</v>
      </c>
      <c r="H14" s="2">
        <v>18</v>
      </c>
      <c r="I14" s="2">
        <v>24</v>
      </c>
      <c r="J14" s="2">
        <v>33.299999999999997</v>
      </c>
      <c r="K14" s="4">
        <v>3.3033033033033035E-4</v>
      </c>
    </row>
    <row r="15" spans="1:11" ht="33.85" customHeight="1">
      <c r="A15" s="2" t="s">
        <v>508</v>
      </c>
      <c r="B15" s="7">
        <v>7.0000000000000001E-3</v>
      </c>
      <c r="C15" s="2">
        <v>2</v>
      </c>
      <c r="D15" s="2">
        <v>2.5</v>
      </c>
      <c r="E15" s="2">
        <v>25</v>
      </c>
      <c r="F15" s="4">
        <v>2.8000000000000003E-4</v>
      </c>
      <c r="G15" s="7">
        <v>1.0999999999999999E-2</v>
      </c>
      <c r="H15" s="2">
        <v>2</v>
      </c>
      <c r="I15" s="2">
        <v>1.5</v>
      </c>
      <c r="J15" s="2">
        <v>25</v>
      </c>
      <c r="K15" s="4">
        <v>4.4000000000000002E-4</v>
      </c>
    </row>
    <row r="16" spans="1:11" ht="33.85" customHeight="1">
      <c r="A16" s="2" t="s">
        <v>509</v>
      </c>
      <c r="B16" s="7">
        <v>1E-3</v>
      </c>
      <c r="C16" s="2">
        <v>6.6400000000000001E-2</v>
      </c>
      <c r="D16" s="2">
        <v>2.0899999999999998E-2</v>
      </c>
      <c r="E16" s="2">
        <v>68.5</v>
      </c>
      <c r="F16" s="4">
        <v>1.4598540145985402E-5</v>
      </c>
      <c r="G16" s="7">
        <v>1E-3</v>
      </c>
      <c r="H16" s="2">
        <v>6.6400000000000001E-2</v>
      </c>
      <c r="I16" s="2">
        <v>0.1037</v>
      </c>
      <c r="J16" s="2">
        <v>56.2</v>
      </c>
      <c r="K16" s="4">
        <v>1.7793594306049801E-5</v>
      </c>
    </row>
    <row r="17" ht="4.5" customHeight="1"/>
    <row r="18" ht="4.5" customHeight="1"/>
    <row r="19" ht="4.5" customHeight="1"/>
    <row r="20" ht="4.5" customHeight="1"/>
    <row r="21" ht="4.5" customHeight="1"/>
    <row r="22" ht="4.5" customHeight="1"/>
    <row r="23" ht="4.5" customHeight="1"/>
    <row r="24" ht="4.5" customHeight="1"/>
    <row r="25" ht="4.5" customHeight="1"/>
    <row r="26" ht="4.5" customHeight="1"/>
    <row r="27" ht="4.5" customHeight="1"/>
    <row r="28" ht="4.5" customHeight="1"/>
    <row r="29" ht="4.5" customHeight="1"/>
    <row r="30" ht="4.5" customHeight="1"/>
    <row r="31" ht="4.5" customHeight="1"/>
    <row r="32" ht="4.5" customHeight="1"/>
    <row r="33" ht="4.5" customHeight="1"/>
    <row r="34" ht="4.5" customHeight="1"/>
    <row r="35" ht="4.5" customHeight="1"/>
    <row r="36" ht="4.5" customHeight="1"/>
    <row r="37" ht="4.5" customHeight="1"/>
    <row r="38" ht="4.5" customHeight="1"/>
    <row r="39" ht="4.5" customHeight="1"/>
    <row r="40" ht="4.5" customHeight="1"/>
    <row r="41" ht="4.5" customHeight="1"/>
    <row r="42" ht="4.5" customHeight="1"/>
    <row r="43" ht="4.5" customHeight="1"/>
    <row r="44" ht="4.5" customHeight="1"/>
    <row r="45" ht="4.5" customHeight="1"/>
    <row r="46" ht="4.5" customHeight="1"/>
    <row r="47" ht="4.5" customHeight="1"/>
    <row r="48" ht="4.5" customHeight="1"/>
    <row r="49" ht="4.5" customHeight="1"/>
    <row r="50" ht="4.5" customHeight="1"/>
    <row r="51" ht="4.5" customHeight="1"/>
    <row r="52" ht="4.5" customHeight="1"/>
    <row r="53" ht="4.5" customHeight="1"/>
    <row r="54" ht="4.5" customHeight="1"/>
    <row r="55" ht="4.5" customHeight="1"/>
    <row r="56" ht="4.5" customHeight="1"/>
    <row r="57" ht="4.5" customHeight="1"/>
    <row r="58" ht="4.5" customHeight="1"/>
    <row r="59" ht="4.5" customHeight="1"/>
    <row r="60" ht="4.5" customHeight="1"/>
    <row r="61" ht="4.5" customHeight="1"/>
    <row r="62" ht="4.5" customHeight="1"/>
    <row r="63" ht="4.5" customHeight="1"/>
    <row r="64" ht="4.5" customHeight="1"/>
    <row r="65" ht="4.5" customHeight="1"/>
    <row r="66" ht="4.5" customHeight="1"/>
    <row r="67" ht="4.5" customHeight="1"/>
    <row r="68" ht="4.5" customHeight="1"/>
    <row r="69" ht="4.5" customHeight="1"/>
    <row r="70" ht="4.5" customHeight="1"/>
    <row r="71" ht="4.5" customHeight="1"/>
    <row r="72" ht="4.5" customHeight="1"/>
    <row r="73" ht="4.5" customHeight="1"/>
    <row r="74" ht="4.5" customHeight="1"/>
    <row r="75" ht="4.5" customHeight="1"/>
    <row r="76" ht="4.5" customHeight="1"/>
    <row r="77" ht="4.5" customHeight="1"/>
    <row r="78" ht="4.5" customHeight="1"/>
    <row r="79" ht="4.5" customHeight="1"/>
    <row r="80" ht="4.5" customHeight="1"/>
    <row r="81" ht="4.5" customHeight="1"/>
    <row r="82" ht="4.5" customHeight="1"/>
    <row r="83" ht="4.5" customHeight="1"/>
    <row r="84" ht="4.5" customHeight="1"/>
    <row r="85" ht="4.5" customHeight="1"/>
    <row r="86" ht="4.5" customHeight="1"/>
    <row r="87" ht="4.5" customHeight="1"/>
    <row r="88" ht="4.5" customHeight="1"/>
    <row r="89" ht="4.5" customHeight="1"/>
    <row r="90" ht="4.5" customHeight="1"/>
    <row r="91" ht="4.5" customHeight="1"/>
    <row r="92" ht="4.5" customHeight="1"/>
    <row r="93" ht="4.5" customHeight="1"/>
    <row r="94" ht="4.5" customHeight="1"/>
    <row r="95" ht="4.5" customHeight="1"/>
    <row r="96" ht="4.5" customHeight="1"/>
    <row r="97" ht="4.5" customHeight="1"/>
    <row r="98" ht="4.5" customHeight="1"/>
    <row r="99" ht="4.5" customHeight="1"/>
    <row r="100" ht="4.5" customHeight="1"/>
    <row r="101" ht="4.5" customHeight="1"/>
    <row r="102" ht="4.5" customHeight="1"/>
    <row r="103" ht="4.5" customHeight="1"/>
    <row r="104" ht="4.5" customHeight="1"/>
    <row r="105" ht="4.5" customHeight="1"/>
    <row r="106" ht="4.5" customHeight="1"/>
    <row r="107" ht="4.5" customHeight="1"/>
    <row r="108" ht="4.5" customHeight="1"/>
    <row r="109" ht="4.5" customHeight="1"/>
    <row r="110" ht="4.5" customHeight="1"/>
    <row r="111" ht="4.5" customHeight="1"/>
    <row r="112" ht="4.5" customHeight="1"/>
    <row r="113" ht="4.5" customHeight="1"/>
    <row r="114" ht="4.5" customHeight="1"/>
    <row r="115" ht="4.5" customHeight="1"/>
    <row r="116" ht="4.5" customHeight="1"/>
    <row r="117" ht="4.5" customHeight="1"/>
    <row r="118" ht="4.5" customHeight="1"/>
    <row r="119" ht="4.5" customHeight="1"/>
    <row r="120" ht="4.5" customHeight="1"/>
    <row r="121" ht="4.5" customHeight="1"/>
    <row r="122" ht="4.5" customHeight="1"/>
    <row r="123" ht="4.5" customHeight="1"/>
    <row r="124" ht="4.5" customHeight="1"/>
    <row r="125" ht="4.5" customHeight="1"/>
    <row r="126" ht="4.5" customHeight="1"/>
    <row r="127" ht="4.5" customHeight="1"/>
    <row r="128" ht="4.5" customHeight="1"/>
    <row r="129" ht="4.5" customHeight="1"/>
    <row r="130" ht="4.5" customHeight="1"/>
    <row r="131" ht="4.5" customHeight="1"/>
    <row r="132" ht="4.5" customHeight="1"/>
    <row r="133" ht="4.5" customHeight="1"/>
    <row r="134" ht="4.5" customHeight="1"/>
    <row r="135" ht="4.5" customHeight="1"/>
    <row r="136" ht="4.5" customHeight="1"/>
    <row r="137" ht="4.5" customHeight="1"/>
    <row r="138" ht="4.5" customHeight="1"/>
    <row r="139" ht="4.5" customHeight="1"/>
    <row r="140" ht="4.5" customHeight="1"/>
    <row r="141" ht="4.5" customHeight="1"/>
    <row r="142" ht="4.5" customHeight="1"/>
    <row r="143" ht="4.5" customHeight="1"/>
    <row r="144" ht="4.5" customHeight="1"/>
    <row r="145" ht="4.5" customHeight="1"/>
    <row r="146" ht="4.5" customHeight="1"/>
    <row r="147" ht="4.5" customHeight="1"/>
    <row r="148" ht="4.5" customHeight="1"/>
    <row r="149" ht="4.5" customHeight="1"/>
    <row r="150" ht="4.5" customHeight="1"/>
    <row r="151" ht="4.5" customHeight="1"/>
    <row r="152" ht="4.5" customHeight="1"/>
    <row r="153" ht="4.5" customHeight="1"/>
    <row r="154" ht="4.5" customHeight="1"/>
    <row r="155" ht="4.5" customHeight="1"/>
    <row r="156" ht="4.5" customHeight="1"/>
    <row r="157" ht="4.5" customHeight="1"/>
    <row r="158" ht="4.5" customHeight="1"/>
    <row r="159" ht="4.5" customHeight="1"/>
    <row r="160" ht="4.5" customHeight="1"/>
    <row r="161" ht="4.5" customHeight="1"/>
    <row r="162" ht="4.5" customHeight="1"/>
    <row r="163" ht="4.5" customHeight="1"/>
    <row r="164" ht="4.5" customHeight="1"/>
    <row r="165" ht="4.5" customHeight="1"/>
    <row r="166" ht="4.5" customHeight="1"/>
    <row r="167" ht="4.5" customHeight="1"/>
    <row r="168" ht="4.5" customHeight="1"/>
    <row r="169" ht="4.5" customHeight="1"/>
    <row r="170" ht="4.5" customHeight="1"/>
    <row r="171" ht="4.5" customHeight="1"/>
    <row r="172" ht="4.5" customHeight="1"/>
    <row r="173" ht="4.5" customHeight="1"/>
    <row r="174" ht="4.5" customHeight="1"/>
    <row r="175" ht="4.5" customHeight="1"/>
    <row r="176" ht="4.5" customHeight="1"/>
    <row r="177" ht="4.5" customHeight="1"/>
    <row r="178" ht="4.5" customHeight="1"/>
    <row r="179" ht="4.5" customHeight="1"/>
    <row r="180" ht="4.5" customHeight="1"/>
    <row r="181" ht="4.5" customHeight="1"/>
    <row r="182" ht="4.5" customHeight="1"/>
    <row r="183" ht="4.5" customHeight="1"/>
    <row r="184" ht="4.5" customHeight="1"/>
    <row r="185" ht="4.5" customHeight="1"/>
    <row r="186" ht="4.5" customHeight="1"/>
    <row r="187" ht="4.5" customHeight="1"/>
    <row r="188" ht="4.5" customHeight="1"/>
    <row r="189" ht="4.5" customHeight="1"/>
    <row r="190" ht="4.5" customHeight="1"/>
    <row r="191" ht="4.5" customHeight="1"/>
    <row r="192" ht="4.5" customHeight="1"/>
    <row r="193" ht="4.5" customHeight="1"/>
    <row r="194" ht="4.5" customHeight="1"/>
    <row r="195" ht="4.5" customHeight="1"/>
    <row r="196" ht="4.5" customHeight="1"/>
    <row r="197" ht="4.5" customHeight="1"/>
    <row r="198" ht="4.5" customHeight="1"/>
    <row r="199" ht="4.5" customHeight="1"/>
    <row r="200" ht="4.5" customHeight="1"/>
    <row r="201" ht="4.5" customHeight="1"/>
    <row r="202" ht="4.5" customHeight="1"/>
    <row r="203" ht="4.5" customHeight="1"/>
    <row r="204" ht="4.5" customHeight="1"/>
    <row r="205" ht="4.5" customHeight="1"/>
    <row r="206" ht="4.5" customHeight="1"/>
    <row r="207" ht="4.5" customHeight="1"/>
    <row r="208" ht="4.5" customHeight="1"/>
    <row r="209" ht="4.5" customHeight="1"/>
    <row r="210" ht="4.5" customHeight="1"/>
    <row r="211" ht="4.5" customHeight="1"/>
    <row r="212" ht="4.5" customHeight="1"/>
    <row r="213" ht="4.5" customHeight="1"/>
    <row r="214" ht="4.5" customHeight="1"/>
    <row r="215" ht="4.5" customHeight="1"/>
    <row r="216" ht="4.5" customHeight="1"/>
    <row r="217" ht="4.5" customHeight="1"/>
    <row r="218" ht="4.5" customHeight="1"/>
    <row r="219" ht="4.5" customHeight="1"/>
    <row r="220" ht="4.5" customHeight="1"/>
    <row r="221" ht="4.5" customHeight="1"/>
    <row r="222" ht="4.5" customHeight="1"/>
    <row r="223" ht="4.5" customHeight="1"/>
    <row r="224" ht="4.5" customHeight="1"/>
    <row r="225" ht="4.5" customHeight="1"/>
    <row r="226" ht="4.5" customHeight="1"/>
    <row r="227" ht="4.5" customHeight="1"/>
    <row r="228" ht="4.5" customHeight="1"/>
    <row r="229" ht="4.5" customHeight="1"/>
    <row r="230" ht="4.5" customHeight="1"/>
    <row r="231" ht="4.5" customHeight="1"/>
    <row r="232" ht="4.5" customHeight="1"/>
    <row r="233" ht="4.5" customHeight="1"/>
    <row r="234" ht="4.5" customHeight="1"/>
    <row r="235" ht="4.5" customHeight="1"/>
    <row r="236" ht="4.5" customHeight="1"/>
    <row r="237" ht="4.5" customHeight="1"/>
    <row r="238" ht="4.5" customHeight="1"/>
    <row r="239" ht="4.5" customHeight="1"/>
    <row r="240" ht="4.5" customHeight="1"/>
    <row r="241" ht="4.5" customHeight="1"/>
    <row r="242" ht="4.5" customHeight="1"/>
    <row r="243" ht="4.5" customHeight="1"/>
    <row r="244" ht="4.5" customHeight="1"/>
    <row r="245" ht="4.5" customHeight="1"/>
    <row r="246" ht="4.5" customHeight="1"/>
    <row r="247" ht="4.5" customHeight="1"/>
    <row r="248" ht="4.5" customHeight="1"/>
    <row r="249" ht="4.5" customHeight="1"/>
    <row r="250" ht="4.5" customHeight="1"/>
    <row r="251" ht="4.5" customHeight="1"/>
    <row r="252" ht="4.5" customHeight="1"/>
    <row r="253" ht="4.5" customHeight="1"/>
    <row r="254" ht="4.5" customHeight="1"/>
    <row r="255" ht="4.5" customHeight="1"/>
    <row r="256" ht="4.5" customHeight="1"/>
    <row r="257" ht="4.5" customHeight="1"/>
    <row r="258" ht="4.5" customHeight="1"/>
    <row r="259" ht="4.5" customHeight="1"/>
    <row r="260" ht="4.5" customHeight="1"/>
    <row r="261" ht="4.5" customHeight="1"/>
    <row r="262" ht="4.5" customHeight="1"/>
    <row r="263" ht="4.5" customHeight="1"/>
    <row r="264" ht="4.5" customHeight="1"/>
    <row r="265" ht="4.5" customHeight="1"/>
    <row r="266" ht="4.5" customHeight="1"/>
    <row r="267" ht="4.5" customHeight="1"/>
    <row r="268" ht="4.5" customHeight="1"/>
    <row r="269" ht="4.5" customHeight="1"/>
    <row r="270" ht="4.5" customHeight="1"/>
    <row r="271" ht="4.5" customHeight="1"/>
    <row r="272" ht="4.5" customHeight="1"/>
    <row r="273" ht="4.5" customHeight="1"/>
    <row r="274" ht="4.5" customHeight="1"/>
    <row r="275" ht="4.5" customHeight="1"/>
    <row r="276" ht="4.5" customHeight="1"/>
    <row r="277" ht="4.5" customHeight="1"/>
    <row r="278" ht="4.5" customHeight="1"/>
    <row r="279" ht="4.5" customHeight="1"/>
    <row r="280" ht="4.5" customHeight="1"/>
    <row r="281" ht="4.5" customHeight="1"/>
    <row r="282" ht="4.5" customHeight="1"/>
    <row r="283" ht="4.5" customHeight="1"/>
    <row r="284" ht="4.5" customHeight="1"/>
    <row r="285" ht="4.5" customHeight="1"/>
    <row r="286" ht="4.5" customHeight="1"/>
    <row r="287" ht="4.5" customHeight="1"/>
    <row r="288" ht="4.5" customHeight="1"/>
    <row r="289" ht="4.5" customHeight="1"/>
    <row r="290" ht="4.5" customHeight="1"/>
    <row r="291" ht="4.5" customHeight="1"/>
    <row r="292" ht="4.5" customHeight="1"/>
    <row r="293" ht="4.5" customHeight="1"/>
    <row r="294" ht="4.5" customHeight="1"/>
    <row r="295" ht="4.5" customHeight="1"/>
    <row r="296" ht="4.5" customHeight="1"/>
    <row r="297" ht="4.5" customHeight="1"/>
    <row r="298" ht="4.5" customHeight="1"/>
    <row r="299" ht="4.5" customHeight="1"/>
    <row r="300" ht="4.5" customHeight="1"/>
    <row r="301" ht="4.5" customHeight="1"/>
    <row r="302" ht="4.5" customHeight="1"/>
    <row r="303" ht="4.5" customHeight="1"/>
    <row r="304" ht="4.5" customHeight="1"/>
    <row r="305" ht="4.5" customHeight="1"/>
    <row r="306" ht="4.5" customHeight="1"/>
    <row r="307" ht="4.5" customHeight="1"/>
    <row r="308" ht="4.5" customHeight="1"/>
    <row r="309" ht="4.5" customHeight="1"/>
    <row r="310" ht="4.5" customHeight="1"/>
    <row r="311" ht="4.5" customHeight="1"/>
    <row r="312" ht="4.5" customHeight="1"/>
    <row r="313" ht="4.5" customHeight="1"/>
    <row r="314" ht="4.5" customHeight="1"/>
    <row r="315" ht="4.5" customHeight="1"/>
    <row r="316" ht="4.5" customHeight="1"/>
    <row r="317" ht="4.5" customHeight="1"/>
    <row r="318" ht="4.5" customHeight="1"/>
    <row r="319" ht="4.5" customHeight="1"/>
    <row r="320" ht="4.5" customHeight="1"/>
    <row r="321" ht="4.5" customHeight="1"/>
    <row r="322" ht="4.5" customHeight="1"/>
    <row r="323" ht="4.5" customHeight="1"/>
    <row r="324" ht="4.5" customHeight="1"/>
    <row r="325" ht="4.5" customHeight="1"/>
    <row r="326" ht="4.5" customHeight="1"/>
    <row r="327" ht="4.5" customHeight="1"/>
    <row r="328" ht="4.5" customHeight="1"/>
    <row r="329" ht="4.5" customHeight="1"/>
    <row r="330" ht="4.5" customHeight="1"/>
    <row r="331" ht="4.5" customHeight="1"/>
    <row r="332" ht="4.5" customHeight="1"/>
    <row r="333" ht="4.5" customHeight="1"/>
    <row r="334" ht="4.5" customHeight="1"/>
    <row r="335" ht="4.5" customHeight="1"/>
    <row r="336" ht="4.5" customHeight="1"/>
    <row r="337" ht="4.5" customHeight="1"/>
    <row r="338" ht="4.5" customHeight="1"/>
    <row r="339" ht="4.5" customHeight="1"/>
    <row r="340" ht="4.5" customHeight="1"/>
    <row r="341" ht="4.5" customHeight="1"/>
    <row r="342" ht="4.5" customHeight="1"/>
    <row r="343" ht="4.5" customHeight="1"/>
    <row r="344" ht="4.5" customHeight="1"/>
    <row r="345" ht="4.5" customHeight="1"/>
    <row r="346" ht="4.5" customHeight="1"/>
    <row r="347" ht="4.5" customHeight="1"/>
    <row r="348" ht="4.5" customHeight="1"/>
    <row r="349" ht="4.5" customHeight="1"/>
    <row r="350" ht="4.5" customHeight="1"/>
    <row r="351" ht="4.5" customHeight="1"/>
    <row r="352" ht="4.5" customHeight="1"/>
    <row r="353" ht="4.5" customHeight="1"/>
    <row r="354" ht="4.5" customHeight="1"/>
    <row r="355" ht="4.5" customHeight="1"/>
    <row r="356" ht="4.5" customHeight="1"/>
    <row r="357" ht="4.5" customHeight="1"/>
    <row r="358" ht="4.5" customHeight="1"/>
    <row r="359" ht="4.5" customHeight="1"/>
    <row r="360" ht="4.5" customHeight="1"/>
    <row r="361" ht="4.5" customHeight="1"/>
    <row r="362" ht="4.5" customHeight="1"/>
    <row r="363" ht="4.5" customHeight="1"/>
    <row r="364" ht="4.5" customHeight="1"/>
    <row r="365" ht="4.5" customHeight="1"/>
    <row r="366" ht="4.5" customHeight="1"/>
    <row r="367" ht="4.5" customHeight="1"/>
    <row r="368" ht="4.5" customHeight="1"/>
    <row r="369" ht="4.5" customHeight="1"/>
    <row r="370" ht="4.5" customHeight="1"/>
    <row r="371" ht="4.5" customHeight="1"/>
    <row r="372" ht="4.5" customHeight="1"/>
    <row r="373" ht="4.5" customHeight="1"/>
    <row r="374" ht="4.5" customHeight="1"/>
    <row r="375" ht="4.5" customHeight="1"/>
    <row r="376" ht="4.5" customHeight="1"/>
    <row r="377" ht="4.5" customHeight="1"/>
    <row r="378" ht="4.5" customHeight="1"/>
    <row r="379" ht="4.5" customHeight="1"/>
    <row r="380" ht="4.5" customHeight="1"/>
    <row r="381" ht="4.5" customHeight="1"/>
    <row r="382" ht="4.5" customHeight="1"/>
    <row r="383" ht="4.5" customHeight="1"/>
    <row r="384" ht="4.5" customHeight="1"/>
    <row r="385" ht="4.5" customHeight="1"/>
    <row r="386" ht="4.5" customHeight="1"/>
    <row r="387" ht="4.5" customHeight="1"/>
    <row r="388" ht="4.5" customHeight="1"/>
    <row r="389" ht="4.5" customHeight="1"/>
    <row r="390" ht="4.5" customHeight="1"/>
    <row r="391" ht="4.5" customHeight="1"/>
    <row r="392" ht="4.5" customHeight="1"/>
    <row r="393" ht="4.5" customHeight="1"/>
    <row r="394" ht="4.5" customHeight="1"/>
    <row r="395" ht="4.5" customHeight="1"/>
    <row r="396" ht="4.5" customHeight="1"/>
    <row r="397" ht="4.5" customHeight="1"/>
    <row r="398" ht="4.5" customHeight="1"/>
    <row r="399" ht="4.5" customHeight="1"/>
    <row r="400" ht="4.5" customHeight="1"/>
    <row r="401" ht="4.5" customHeight="1"/>
    <row r="402" ht="4.5" customHeight="1"/>
    <row r="403" ht="4.5" customHeight="1"/>
    <row r="404" ht="4.5" customHeight="1"/>
    <row r="405" ht="4.5" customHeight="1"/>
    <row r="406" ht="4.5" customHeight="1"/>
    <row r="407" ht="4.5" customHeight="1"/>
    <row r="408" ht="4.5" customHeight="1"/>
    <row r="409" ht="4.5" customHeight="1"/>
    <row r="410" ht="4.5" customHeight="1"/>
    <row r="411" ht="4.5" customHeight="1"/>
    <row r="412" ht="4.5" customHeight="1"/>
    <row r="413" ht="4.5" customHeight="1"/>
    <row r="414" ht="4.5" customHeight="1"/>
    <row r="415" ht="4.5" customHeight="1"/>
    <row r="416" ht="4.5" customHeight="1"/>
    <row r="417" ht="4.5" customHeight="1"/>
    <row r="418" ht="4.5" customHeight="1"/>
    <row r="419" ht="4.5" customHeight="1"/>
    <row r="420" ht="4.5" customHeight="1"/>
    <row r="421" ht="4.5" customHeight="1"/>
    <row r="422" ht="4.5" customHeight="1"/>
    <row r="423" ht="4.5" customHeight="1"/>
    <row r="424" ht="4.5" customHeight="1"/>
    <row r="425" ht="4.5" customHeight="1"/>
    <row r="426" ht="4.5" customHeight="1"/>
    <row r="427" ht="4.5" customHeight="1"/>
    <row r="428" ht="4.5" customHeight="1"/>
    <row r="429" ht="4.5" customHeight="1"/>
    <row r="430" ht="4.5" customHeight="1"/>
    <row r="431" ht="4.5" customHeight="1"/>
    <row r="432" ht="4.5" customHeight="1"/>
    <row r="433" ht="4.5" customHeight="1"/>
    <row r="434" ht="4.5" customHeight="1"/>
    <row r="435" ht="4.5" customHeight="1"/>
    <row r="436" ht="4.5" customHeight="1"/>
    <row r="437" ht="4.5" customHeight="1"/>
    <row r="438" ht="4.5" customHeight="1"/>
    <row r="439" ht="4.5" customHeight="1"/>
    <row r="440" ht="4.5" customHeight="1"/>
    <row r="441" ht="4.5" customHeight="1"/>
    <row r="442" ht="4.5" customHeight="1"/>
    <row r="443" ht="4.5" customHeight="1"/>
    <row r="444" ht="4.5" customHeight="1"/>
    <row r="445" ht="4.5" customHeight="1"/>
    <row r="446" ht="4.5" customHeight="1"/>
    <row r="447" ht="4.5" customHeight="1"/>
    <row r="448" ht="4.5" customHeight="1"/>
    <row r="449" ht="4.5" customHeight="1"/>
    <row r="450" ht="4.5" customHeight="1"/>
    <row r="451" ht="4.5" customHeight="1"/>
    <row r="452" ht="4.5" customHeight="1"/>
    <row r="453" ht="4.5" customHeight="1"/>
    <row r="454" ht="4.5" customHeight="1"/>
    <row r="455" ht="4.5" customHeight="1"/>
    <row r="456" ht="4.5" customHeight="1"/>
    <row r="457" ht="4.5" customHeight="1"/>
    <row r="458" ht="4.5" customHeight="1"/>
    <row r="459" ht="4.5" customHeight="1"/>
    <row r="460" ht="4.5" customHeight="1"/>
    <row r="461" ht="4.5" customHeight="1"/>
    <row r="462" ht="4.5" customHeight="1"/>
    <row r="463" ht="4.5" customHeight="1"/>
    <row r="464" ht="4.5" customHeight="1"/>
    <row r="465" ht="4.5" customHeight="1"/>
    <row r="466" ht="4.5" customHeight="1"/>
    <row r="467" ht="4.5" customHeight="1"/>
    <row r="468" ht="4.5" customHeight="1"/>
    <row r="469" ht="4.5" customHeight="1"/>
    <row r="470" ht="4.5" customHeight="1"/>
    <row r="471" ht="4.5" customHeight="1"/>
    <row r="472" ht="4.5" customHeight="1"/>
    <row r="473" ht="4.5" customHeight="1"/>
    <row r="474" ht="4.5" customHeight="1"/>
    <row r="475" ht="4.5" customHeight="1"/>
    <row r="476" ht="4.5" customHeight="1"/>
    <row r="477" ht="4.5" customHeight="1"/>
    <row r="478" ht="4.5" customHeight="1"/>
    <row r="479" ht="4.5" customHeight="1"/>
    <row r="480" ht="4.5" customHeight="1"/>
    <row r="481" ht="4.5" customHeight="1"/>
    <row r="482" ht="4.5" customHeight="1"/>
    <row r="483" ht="4.5" customHeight="1"/>
    <row r="484" ht="4.5" customHeight="1"/>
    <row r="485" ht="4.5" customHeight="1"/>
    <row r="486" ht="4.5" customHeight="1"/>
    <row r="487" ht="4.5" customHeight="1"/>
    <row r="488" ht="4.5" customHeight="1"/>
    <row r="489" ht="4.5" customHeight="1"/>
    <row r="490" ht="4.5" customHeight="1"/>
    <row r="491" ht="4.5" customHeight="1"/>
    <row r="492" ht="4.5" customHeight="1"/>
    <row r="493" ht="4.5" customHeight="1"/>
    <row r="494" ht="4.5" customHeight="1"/>
    <row r="495" ht="4.5" customHeight="1"/>
    <row r="496" ht="4.5" customHeight="1"/>
    <row r="497" ht="4.5" customHeight="1"/>
    <row r="498" ht="4.5" customHeight="1"/>
    <row r="499" ht="4.5" customHeight="1"/>
    <row r="500" ht="4.5" customHeight="1"/>
    <row r="501" ht="4.5" customHeight="1"/>
    <row r="502" ht="4.5" customHeight="1"/>
    <row r="503" ht="4.5" customHeight="1"/>
    <row r="504" ht="4.5" customHeight="1"/>
    <row r="505" ht="4.5" customHeight="1"/>
    <row r="506" ht="4.5" customHeight="1"/>
    <row r="507" ht="4.5" customHeight="1"/>
    <row r="508" ht="4.5" customHeight="1"/>
    <row r="509" ht="4.5" customHeight="1"/>
    <row r="510" ht="4.5" customHeight="1"/>
    <row r="511" ht="4.5" customHeight="1"/>
    <row r="512" ht="4.5" customHeight="1"/>
    <row r="513" ht="4.5" customHeight="1"/>
    <row r="514" ht="4.5" customHeight="1"/>
    <row r="515" ht="4.5" customHeight="1"/>
    <row r="516" ht="4.5" customHeight="1"/>
    <row r="517" ht="4.5" customHeight="1"/>
    <row r="518" ht="4.5" customHeight="1"/>
    <row r="519" ht="4.5" customHeight="1"/>
    <row r="520" ht="4.5" customHeight="1"/>
    <row r="521" ht="4.5" customHeight="1"/>
    <row r="522" ht="4.5" customHeight="1"/>
    <row r="523" ht="4.5" customHeight="1"/>
    <row r="524" ht="4.5" customHeight="1"/>
    <row r="525" ht="4.5" customHeight="1"/>
    <row r="526" ht="4.5" customHeight="1"/>
    <row r="527" ht="4.5" customHeight="1"/>
    <row r="528" ht="4.5" customHeight="1"/>
    <row r="529" ht="4.5" customHeight="1"/>
    <row r="530" ht="4.5" customHeight="1"/>
    <row r="531" ht="4.5" customHeight="1"/>
    <row r="532" ht="4.5" customHeight="1"/>
    <row r="533" ht="4.5" customHeight="1"/>
    <row r="534" ht="4.5" customHeight="1"/>
    <row r="535" ht="4.5" customHeight="1"/>
    <row r="536" ht="4.5" customHeight="1"/>
    <row r="537" ht="4.5" customHeight="1"/>
    <row r="538" ht="4.5" customHeight="1"/>
    <row r="539" ht="4.5" customHeight="1"/>
    <row r="540" ht="4.5" customHeight="1"/>
    <row r="541" ht="4.5" customHeight="1"/>
    <row r="542" ht="4.5" customHeight="1"/>
    <row r="543" ht="4.5" customHeight="1"/>
    <row r="544" ht="4.5" customHeight="1"/>
    <row r="545" ht="4.5" customHeight="1"/>
    <row r="546" ht="4.5" customHeight="1"/>
    <row r="547" ht="4.5" customHeight="1"/>
    <row r="548" ht="4.5" customHeight="1"/>
    <row r="549" ht="4.5" customHeight="1"/>
    <row r="550" ht="4.5" customHeight="1"/>
    <row r="551" ht="4.5" customHeight="1"/>
    <row r="552" ht="4.5" customHeight="1"/>
    <row r="553" ht="4.5" customHeight="1"/>
    <row r="554" ht="4.5" customHeight="1"/>
    <row r="555" ht="4.5" customHeight="1"/>
    <row r="556" ht="4.5" customHeight="1"/>
    <row r="557" ht="4.5" customHeight="1"/>
    <row r="558" ht="4.5" customHeight="1"/>
    <row r="559" ht="4.5" customHeight="1"/>
    <row r="560" ht="4.5" customHeight="1"/>
    <row r="561" ht="4.5" customHeight="1"/>
    <row r="562" ht="4.5" customHeight="1"/>
    <row r="563" ht="4.5" customHeight="1"/>
    <row r="564" ht="4.5" customHeight="1"/>
    <row r="565" ht="4.5" customHeight="1"/>
    <row r="566" ht="4.5" customHeight="1"/>
    <row r="567" ht="4.5" customHeight="1"/>
    <row r="568" ht="4.5" customHeight="1"/>
    <row r="569" ht="4.5" customHeight="1"/>
    <row r="570" ht="4.5" customHeight="1"/>
    <row r="571" ht="4.5" customHeight="1"/>
    <row r="572" ht="4.5" customHeight="1"/>
    <row r="573" ht="4.5" customHeight="1"/>
    <row r="574" ht="4.5" customHeight="1"/>
    <row r="575" ht="4.5" customHeight="1"/>
    <row r="576" ht="4.5" customHeight="1"/>
    <row r="577" ht="4.5" customHeight="1"/>
    <row r="578" ht="4.5" customHeight="1"/>
    <row r="579" ht="4.5" customHeight="1"/>
    <row r="580" ht="4.5" customHeight="1"/>
    <row r="581" ht="4.5" customHeight="1"/>
    <row r="582" ht="4.5" customHeight="1"/>
    <row r="583" ht="4.5" customHeight="1"/>
    <row r="584" ht="4.5" customHeight="1"/>
    <row r="585" ht="4.5" customHeight="1"/>
    <row r="586" ht="4.5" customHeight="1"/>
    <row r="587" ht="4.5" customHeight="1"/>
    <row r="588" ht="4.5" customHeight="1"/>
    <row r="589" ht="4.5" customHeight="1"/>
    <row r="590" ht="4.5" customHeight="1"/>
    <row r="591" ht="4.5" customHeight="1"/>
    <row r="592" ht="4.5" customHeight="1"/>
    <row r="593" ht="4.5" customHeight="1"/>
    <row r="594" ht="4.5" customHeight="1"/>
    <row r="595" ht="4.5" customHeight="1"/>
    <row r="596" ht="4.5" customHeight="1"/>
    <row r="597" ht="4.5" customHeight="1"/>
    <row r="598" ht="4.5" customHeight="1"/>
    <row r="599" ht="4.5" customHeight="1"/>
    <row r="600" ht="4.5" customHeight="1"/>
    <row r="601" ht="4.5" customHeight="1"/>
    <row r="602" ht="4.5" customHeight="1"/>
    <row r="603" ht="4.5" customHeight="1"/>
    <row r="604" ht="4.5" customHeight="1"/>
    <row r="605" ht="4.5" customHeight="1"/>
    <row r="606" ht="4.5" customHeight="1"/>
    <row r="607" ht="4.5" customHeight="1"/>
    <row r="608" ht="4.5" customHeight="1"/>
    <row r="609" ht="4.5" customHeight="1"/>
    <row r="610" ht="4.5" customHeight="1"/>
    <row r="611" ht="4.5" customHeight="1"/>
    <row r="612" ht="4.5" customHeight="1"/>
    <row r="613" ht="4.5" customHeight="1"/>
    <row r="614" ht="4.5" customHeight="1"/>
    <row r="615" ht="4.5" customHeight="1"/>
    <row r="616" ht="4.5" customHeight="1"/>
    <row r="617" ht="4.5" customHeight="1"/>
    <row r="618" ht="4.5" customHeight="1"/>
    <row r="619" ht="4.5" customHeight="1"/>
    <row r="620" ht="4.5" customHeight="1"/>
    <row r="621" ht="4.5" customHeight="1"/>
    <row r="622" ht="4.5" customHeight="1"/>
    <row r="623" ht="4.5" customHeight="1"/>
    <row r="624" ht="4.5" customHeight="1"/>
    <row r="625" ht="4.5" customHeight="1"/>
    <row r="626" ht="4.5" customHeight="1"/>
    <row r="627" ht="4.5" customHeight="1"/>
    <row r="628" ht="4.5" customHeight="1"/>
    <row r="629" ht="4.5" customHeight="1"/>
    <row r="630" ht="4.5" customHeight="1"/>
    <row r="631" ht="4.5" customHeight="1"/>
    <row r="632" ht="4.5" customHeight="1"/>
    <row r="633" ht="4.5" customHeight="1"/>
    <row r="634" ht="4.5" customHeight="1"/>
    <row r="635" ht="4.5" customHeight="1"/>
    <row r="636" ht="4.5" customHeight="1"/>
    <row r="637" ht="4.5" customHeight="1"/>
    <row r="638" ht="4.5" customHeight="1"/>
    <row r="639" ht="4.5" customHeight="1"/>
    <row r="640" ht="4.5" customHeight="1"/>
    <row r="641" ht="4.5" customHeight="1"/>
    <row r="642" ht="4.5" customHeight="1"/>
    <row r="643" ht="4.5" customHeight="1"/>
    <row r="644" ht="4.5" customHeight="1"/>
    <row r="645" ht="4.5" customHeight="1"/>
    <row r="646" ht="4.5" customHeight="1"/>
    <row r="647" ht="4.5" customHeight="1"/>
    <row r="648" ht="4.5" customHeight="1"/>
    <row r="649" ht="4.5" customHeight="1"/>
    <row r="650" ht="4.5" customHeight="1"/>
    <row r="651" ht="4.5" customHeight="1"/>
    <row r="652" ht="4.5" customHeight="1"/>
    <row r="653" ht="4.5" customHeight="1"/>
    <row r="654" ht="4.5" customHeight="1"/>
    <row r="655" ht="4.5" customHeight="1"/>
    <row r="656" ht="4.5" customHeight="1"/>
    <row r="657" ht="4.5" customHeight="1"/>
    <row r="658" ht="4.5" customHeight="1"/>
    <row r="659" ht="4.5" customHeight="1"/>
    <row r="660" ht="4.5" customHeight="1"/>
    <row r="661" ht="4.5" customHeight="1"/>
    <row r="662" ht="4.5" customHeight="1"/>
    <row r="663" ht="4.5" customHeight="1"/>
    <row r="664" ht="4.5" customHeight="1"/>
    <row r="665" ht="4.5" customHeight="1"/>
    <row r="666" ht="4.5" customHeight="1"/>
    <row r="667" ht="4.5" customHeight="1"/>
    <row r="668" ht="4.5" customHeight="1"/>
    <row r="669" ht="4.5" customHeight="1"/>
    <row r="670" ht="4.5" customHeight="1"/>
    <row r="671" ht="4.5" customHeight="1"/>
    <row r="672" ht="4.5" customHeight="1"/>
    <row r="673" ht="4.5" customHeight="1"/>
    <row r="674" ht="4.5" customHeight="1"/>
    <row r="675" ht="4.5" customHeight="1"/>
    <row r="676" ht="4.5" customHeight="1"/>
    <row r="677" ht="4.5" customHeight="1"/>
    <row r="678" ht="4.5" customHeight="1"/>
    <row r="679" ht="4.5" customHeight="1"/>
    <row r="680" ht="4.5" customHeight="1"/>
    <row r="681" ht="4.5" customHeight="1"/>
    <row r="682" ht="4.5" customHeight="1"/>
    <row r="683" ht="4.5" customHeight="1"/>
    <row r="684" ht="4.5" customHeight="1"/>
    <row r="685" ht="4.5" customHeight="1"/>
    <row r="686" ht="4.5" customHeight="1"/>
    <row r="687" ht="4.5" customHeight="1"/>
    <row r="688" ht="4.5" customHeight="1"/>
    <row r="689" ht="4.5" customHeight="1"/>
    <row r="690" ht="4.5" customHeight="1"/>
    <row r="691" ht="4.5" customHeight="1"/>
    <row r="692" ht="4.5" customHeight="1"/>
    <row r="693" ht="4.5" customHeight="1"/>
    <row r="694" ht="4.5" customHeight="1"/>
    <row r="695" ht="4.5" customHeight="1"/>
    <row r="696" ht="4.5" customHeight="1"/>
    <row r="697" ht="4.5" customHeight="1"/>
    <row r="698" ht="4.5" customHeight="1"/>
    <row r="699" ht="4.5" customHeight="1"/>
    <row r="700" ht="4.5" customHeight="1"/>
    <row r="701" ht="4.5" customHeight="1"/>
    <row r="702" ht="4.5" customHeight="1"/>
    <row r="703" ht="4.5" customHeight="1"/>
    <row r="704" ht="4.5" customHeight="1"/>
    <row r="705" ht="4.5" customHeight="1"/>
    <row r="706" ht="4.5" customHeight="1"/>
    <row r="707" ht="4.5" customHeight="1"/>
    <row r="708" ht="4.5" customHeight="1"/>
    <row r="709" ht="4.5" customHeight="1"/>
    <row r="710" ht="4.5" customHeight="1"/>
    <row r="711" ht="4.5" customHeight="1"/>
    <row r="712" ht="4.5" customHeight="1"/>
    <row r="713" ht="4.5" customHeight="1"/>
    <row r="714" ht="4.5" customHeight="1"/>
    <row r="715" ht="4.5" customHeight="1"/>
    <row r="716" ht="4.5" customHeight="1"/>
    <row r="717" ht="4.5" customHeight="1"/>
    <row r="718" ht="4.5" customHeight="1"/>
    <row r="719" ht="4.5" customHeight="1"/>
    <row r="720" ht="4.5" customHeight="1"/>
    <row r="721" ht="4.5" customHeight="1"/>
    <row r="722" ht="4.5" customHeight="1"/>
    <row r="723" ht="4.5" customHeight="1"/>
    <row r="724" ht="4.5" customHeight="1"/>
    <row r="725" ht="4.5" customHeight="1"/>
    <row r="726" ht="4.5" customHeight="1"/>
    <row r="727" ht="4.5" customHeight="1"/>
    <row r="728" ht="4.5" customHeight="1"/>
    <row r="729" ht="4.5" customHeight="1"/>
    <row r="730" ht="4.5" customHeight="1"/>
    <row r="731" ht="4.5" customHeight="1"/>
    <row r="732" ht="4.5" customHeight="1"/>
    <row r="733" ht="4.5" customHeight="1"/>
    <row r="734" ht="4.5" customHeight="1"/>
    <row r="735" ht="4.5" customHeight="1"/>
    <row r="736" ht="4.5" customHeight="1"/>
    <row r="737" ht="4.5" customHeight="1"/>
    <row r="738" ht="4.5" customHeight="1"/>
    <row r="739" ht="4.5" customHeight="1"/>
    <row r="740" ht="4.5" customHeight="1"/>
    <row r="741" ht="4.5" customHeight="1"/>
    <row r="742" ht="4.5" customHeight="1"/>
    <row r="743" ht="4.5" customHeight="1"/>
    <row r="744" ht="4.5" customHeight="1"/>
    <row r="745" ht="4.5" customHeight="1"/>
    <row r="746" ht="4.5" customHeight="1"/>
    <row r="747" ht="4.5" customHeight="1"/>
    <row r="748" ht="4.5" customHeight="1"/>
    <row r="749" ht="4.5" customHeight="1"/>
    <row r="750" ht="4.5" customHeight="1"/>
    <row r="751" ht="4.5" customHeight="1"/>
    <row r="752" ht="4.5" customHeight="1"/>
    <row r="753" ht="4.5" customHeight="1"/>
    <row r="754" ht="4.5" customHeight="1"/>
    <row r="755" ht="4.5" customHeight="1"/>
    <row r="756" ht="4.5" customHeight="1"/>
    <row r="757" ht="4.5" customHeight="1"/>
    <row r="758" ht="4.5" customHeight="1"/>
    <row r="759" ht="4.5" customHeight="1"/>
    <row r="760" ht="4.5" customHeight="1"/>
    <row r="761" ht="4.5" customHeight="1"/>
    <row r="762" ht="4.5" customHeight="1"/>
    <row r="763" ht="4.5" customHeight="1"/>
    <row r="764" ht="4.5" customHeight="1"/>
    <row r="765" ht="4.5" customHeight="1"/>
    <row r="766" ht="4.5" customHeight="1"/>
    <row r="767" ht="4.5" customHeight="1"/>
    <row r="768" ht="4.5" customHeight="1"/>
    <row r="769" ht="4.5" customHeight="1"/>
    <row r="770" ht="4.5" customHeight="1"/>
    <row r="771" ht="4.5" customHeight="1"/>
    <row r="772" ht="4.5" customHeight="1"/>
    <row r="773" ht="4.5" customHeight="1"/>
    <row r="774" ht="4.5" customHeight="1"/>
    <row r="775" ht="4.5" customHeight="1"/>
    <row r="776" ht="4.5" customHeight="1"/>
    <row r="777" ht="4.5" customHeight="1"/>
    <row r="778" ht="4.5" customHeight="1"/>
    <row r="779" ht="4.5" customHeight="1"/>
    <row r="780" ht="4.5" customHeight="1"/>
    <row r="781" ht="4.5" customHeight="1"/>
    <row r="782" ht="4.5" customHeight="1"/>
    <row r="783" ht="4.5" customHeight="1"/>
    <row r="784" ht="4.5" customHeight="1"/>
    <row r="785" ht="4.5" customHeight="1"/>
    <row r="786" ht="4.5" customHeight="1"/>
    <row r="787" ht="4.5" customHeight="1"/>
    <row r="788" ht="4.5" customHeight="1"/>
    <row r="789" ht="4.5" customHeight="1"/>
    <row r="790" ht="4.5" customHeight="1"/>
    <row r="791" ht="4.5" customHeight="1"/>
    <row r="792" ht="4.5" customHeight="1"/>
    <row r="793" ht="4.5" customHeight="1"/>
    <row r="794" ht="4.5" customHeight="1"/>
    <row r="795" ht="4.5" customHeight="1"/>
    <row r="796" ht="4.5" customHeight="1"/>
    <row r="797" ht="4.5" customHeight="1"/>
    <row r="798" ht="4.5" customHeight="1"/>
    <row r="799" ht="4.5" customHeight="1"/>
    <row r="800" ht="4.5" customHeight="1"/>
    <row r="801" ht="4.5" customHeight="1"/>
    <row r="802" ht="4.5" customHeight="1"/>
    <row r="803" ht="4.5" customHeight="1"/>
    <row r="804" ht="4.5" customHeight="1"/>
    <row r="805" ht="4.5" customHeight="1"/>
    <row r="806" ht="4.5" customHeight="1"/>
    <row r="807" ht="4.5" customHeight="1"/>
    <row r="808" ht="4.5" customHeight="1"/>
    <row r="809" ht="4.5" customHeight="1"/>
    <row r="810" ht="4.5" customHeight="1"/>
    <row r="811" ht="4.5" customHeight="1"/>
    <row r="812" ht="4.5" customHeight="1"/>
    <row r="813" ht="4.5" customHeight="1"/>
    <row r="814" ht="4.5" customHeight="1"/>
    <row r="815" ht="4.5" customHeight="1"/>
    <row r="816" ht="4.5" customHeight="1"/>
    <row r="817" ht="4.5" customHeight="1"/>
    <row r="818" ht="4.5" customHeight="1"/>
    <row r="819" ht="4.5" customHeight="1"/>
    <row r="820" ht="4.5" customHeight="1"/>
    <row r="821" ht="4.5" customHeight="1"/>
    <row r="822" ht="4.5" customHeight="1"/>
    <row r="823" ht="4.5" customHeight="1"/>
    <row r="824" ht="4.5" customHeight="1"/>
    <row r="825" ht="4.5" customHeight="1"/>
    <row r="826" ht="4.5" customHeight="1"/>
    <row r="827" ht="4.5" customHeight="1"/>
    <row r="828" ht="4.5" customHeight="1"/>
    <row r="829" ht="4.5" customHeight="1"/>
    <row r="830" ht="4.5" customHeight="1"/>
    <row r="831" ht="4.5" customHeight="1"/>
    <row r="832" ht="4.5" customHeight="1"/>
    <row r="833" ht="4.5" customHeight="1"/>
    <row r="834" ht="4.5" customHeight="1"/>
    <row r="835" ht="4.5" customHeight="1"/>
    <row r="836" ht="4.5" customHeight="1"/>
    <row r="837" ht="4.5" customHeight="1"/>
    <row r="838" ht="4.5" customHeight="1"/>
    <row r="839" ht="4.5" customHeight="1"/>
    <row r="840" ht="4.5" customHeight="1"/>
    <row r="841" ht="4.5" customHeight="1"/>
    <row r="842" ht="4.5" customHeight="1"/>
    <row r="843" ht="4.5" customHeight="1"/>
    <row r="844" ht="4.5" customHeight="1"/>
    <row r="845" ht="4.5" customHeight="1"/>
    <row r="846" ht="4.5" customHeight="1"/>
    <row r="847" ht="4.5" customHeight="1"/>
    <row r="848" ht="4.5" customHeight="1"/>
    <row r="849" ht="4.5" customHeight="1"/>
    <row r="850" ht="4.5" customHeight="1"/>
    <row r="851" ht="4.5" customHeight="1"/>
    <row r="852" ht="4.5" customHeight="1"/>
    <row r="853" ht="4.5" customHeight="1"/>
    <row r="854" ht="4.5" customHeight="1"/>
    <row r="855" ht="4.5" customHeight="1"/>
    <row r="856" ht="4.5" customHeight="1"/>
    <row r="857" ht="4.5" customHeight="1"/>
    <row r="858" ht="4.5" customHeight="1"/>
    <row r="859" ht="4.5" customHeight="1"/>
    <row r="860" ht="4.5" customHeight="1"/>
    <row r="861" ht="4.5" customHeight="1"/>
    <row r="862" ht="4.5" customHeight="1"/>
    <row r="863" ht="4.5" customHeight="1"/>
    <row r="864" ht="4.5" customHeight="1"/>
    <row r="865" ht="4.5" customHeight="1"/>
    <row r="866" ht="4.5" customHeight="1"/>
    <row r="867" ht="4.5" customHeight="1"/>
    <row r="868" ht="4.5" customHeight="1"/>
    <row r="869" ht="4.5" customHeight="1"/>
    <row r="870" ht="4.5" customHeight="1"/>
    <row r="871" ht="4.5" customHeight="1"/>
    <row r="872" ht="4.5" customHeight="1"/>
    <row r="873" ht="4.5" customHeight="1"/>
    <row r="874" ht="4.5" customHeight="1"/>
    <row r="875" ht="4.5" customHeight="1"/>
    <row r="876" ht="4.5" customHeight="1"/>
    <row r="877" ht="4.5" customHeight="1"/>
    <row r="878" ht="4.5" customHeight="1"/>
    <row r="879" ht="4.5" customHeight="1"/>
    <row r="880" ht="4.5" customHeight="1"/>
    <row r="881" ht="4.5" customHeight="1"/>
    <row r="882" ht="4.5" customHeight="1"/>
    <row r="883" ht="4.5" customHeight="1"/>
    <row r="884" ht="4.5" customHeight="1"/>
    <row r="885" ht="4.5" customHeight="1"/>
    <row r="886" ht="4.5" customHeight="1"/>
    <row r="887" ht="4.5" customHeight="1"/>
    <row r="888" ht="4.5" customHeight="1"/>
    <row r="889" ht="4.5" customHeight="1"/>
    <row r="890" ht="4.5" customHeight="1"/>
    <row r="891" ht="4.5" customHeight="1"/>
    <row r="892" ht="4.5" customHeight="1"/>
    <row r="893" ht="4.5" customHeight="1"/>
    <row r="894" ht="4.5" customHeight="1"/>
    <row r="895" ht="4.5" customHeight="1"/>
    <row r="896" ht="4.5" customHeight="1"/>
    <row r="897" ht="4.5" customHeight="1"/>
    <row r="898" ht="4.5" customHeight="1"/>
    <row r="899" ht="4.5" customHeight="1"/>
    <row r="900" ht="4.5" customHeight="1"/>
    <row r="901" ht="4.5" customHeight="1"/>
    <row r="902" ht="4.5" customHeight="1"/>
    <row r="903" ht="4.5" customHeight="1"/>
    <row r="904" ht="4.5" customHeight="1"/>
    <row r="905" ht="4.5" customHeight="1"/>
    <row r="906" ht="4.5" customHeight="1"/>
    <row r="907" ht="4.5" customHeight="1"/>
    <row r="908" ht="4.5" customHeight="1"/>
    <row r="909" ht="4.5" customHeight="1"/>
    <row r="910" ht="4.5" customHeight="1"/>
    <row r="911" ht="4.5" customHeight="1"/>
    <row r="912" ht="4.5" customHeight="1"/>
    <row r="913" ht="4.5" customHeight="1"/>
    <row r="914" ht="4.5" customHeight="1"/>
    <row r="915" ht="4.5" customHeight="1"/>
    <row r="916" ht="4.5" customHeight="1"/>
    <row r="917" ht="4.5" customHeight="1"/>
    <row r="918" ht="4.5" customHeight="1"/>
    <row r="919" ht="4.5" customHeight="1"/>
    <row r="920" ht="4.5" customHeight="1"/>
    <row r="921" ht="4.5" customHeight="1"/>
    <row r="922" ht="4.5" customHeight="1"/>
    <row r="923" ht="4.5" customHeight="1"/>
    <row r="924" ht="4.5" customHeight="1"/>
    <row r="925" ht="4.5" customHeight="1"/>
    <row r="926" ht="4.5" customHeight="1"/>
    <row r="927" ht="4.5" customHeight="1"/>
    <row r="928" ht="4.5" customHeight="1"/>
    <row r="929" ht="4.5" customHeight="1"/>
    <row r="930" ht="4.5" customHeight="1"/>
    <row r="931" ht="4.5" customHeight="1"/>
    <row r="932" ht="4.5" customHeight="1"/>
    <row r="933" ht="4.5" customHeight="1"/>
    <row r="934" ht="4.5" customHeight="1"/>
    <row r="935" ht="4.5" customHeight="1"/>
    <row r="936" ht="4.5" customHeight="1"/>
    <row r="937" ht="4.5" customHeight="1"/>
    <row r="938" ht="4.5" customHeight="1"/>
    <row r="939" ht="4.5" customHeight="1"/>
    <row r="940" ht="4.5" customHeight="1"/>
    <row r="941" ht="4.5" customHeight="1"/>
    <row r="942" ht="4.5" customHeight="1"/>
    <row r="943" ht="4.5" customHeight="1"/>
    <row r="944" ht="4.5" customHeight="1"/>
    <row r="945" ht="4.5" customHeight="1"/>
    <row r="946" ht="4.5" customHeight="1"/>
    <row r="947" ht="4.5" customHeight="1"/>
    <row r="948" ht="4.5" customHeight="1"/>
    <row r="949" ht="4.5" customHeight="1"/>
    <row r="950" ht="4.5" customHeight="1"/>
    <row r="951" ht="4.5" customHeight="1"/>
    <row r="952" ht="4.5" customHeight="1"/>
    <row r="953" ht="4.5" customHeight="1"/>
    <row r="954" ht="4.5" customHeight="1"/>
    <row r="955" ht="4.5" customHeight="1"/>
    <row r="956" ht="4.5" customHeight="1"/>
    <row r="957" ht="4.5" customHeight="1"/>
    <row r="958" ht="4.5" customHeight="1"/>
    <row r="959" ht="4.5" customHeight="1"/>
    <row r="960" ht="4.5" customHeight="1"/>
    <row r="961" ht="4.5" customHeight="1"/>
    <row r="962" ht="4.5" customHeight="1"/>
    <row r="963" ht="4.5" customHeight="1"/>
    <row r="964" ht="4.5" customHeight="1"/>
    <row r="965" ht="4.5" customHeight="1"/>
    <row r="966" ht="4.5" customHeight="1"/>
    <row r="967" ht="4.5" customHeight="1"/>
    <row r="968" ht="4.5" customHeight="1"/>
    <row r="969" ht="4.5" customHeight="1"/>
    <row r="970" ht="4.5" customHeight="1"/>
    <row r="971" ht="4.5" customHeight="1"/>
    <row r="972" ht="4.5" customHeight="1"/>
    <row r="973" ht="4.5" customHeight="1"/>
    <row r="974" ht="4.5" customHeight="1"/>
    <row r="975" ht="4.5" customHeight="1"/>
    <row r="976" ht="4.5" customHeight="1"/>
    <row r="977" ht="4.5" customHeight="1"/>
    <row r="978" ht="4.5" customHeight="1"/>
    <row r="979" ht="4.5" customHeight="1"/>
    <row r="980" ht="4.5" customHeight="1"/>
    <row r="981" ht="4.5" customHeight="1"/>
    <row r="982" ht="4.5" customHeight="1"/>
    <row r="983" ht="4.5" customHeight="1"/>
    <row r="984" ht="4.5" customHeight="1"/>
    <row r="985" ht="4.5" customHeight="1"/>
    <row r="986" ht="4.5" customHeight="1"/>
    <row r="987" ht="4.5" customHeight="1"/>
    <row r="988" ht="4.5" customHeight="1"/>
    <row r="989" ht="4.5" customHeight="1"/>
    <row r="990" ht="4.5" customHeight="1"/>
    <row r="991" ht="4.5" customHeight="1"/>
    <row r="992" ht="4.5" customHeight="1"/>
    <row r="993" ht="4.5" customHeight="1"/>
    <row r="994" ht="4.5" customHeight="1"/>
    <row r="995" ht="4.5" customHeight="1"/>
    <row r="996" ht="4.5" customHeight="1"/>
    <row r="997" ht="4.5" customHeight="1"/>
    <row r="998" ht="4.5" customHeight="1"/>
    <row r="999" ht="4.5" customHeight="1"/>
    <row r="1000" ht="4.5" customHeight="1"/>
  </sheetData>
  <mergeCells count="2">
    <mergeCell ref="A1:K1"/>
    <mergeCell ref="A2:K2"/>
  </mergeCells>
  <phoneticPr fontId="6" type="noConversion"/>
  <conditionalFormatting sqref="F5:F16">
    <cfRule type="dataBar" priority="1">
      <dataBar>
        <cfvo type="min"/>
        <cfvo type="max"/>
        <color rgb="FF5B9BD5"/>
      </dataBar>
    </cfRule>
    <cfRule type="dataBar" priority="3">
      <dataBar>
        <cfvo type="min"/>
        <cfvo type="max"/>
        <color rgb="FF5B9BD5"/>
      </dataBar>
    </cfRule>
    <cfRule type="dataBar" priority="5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{A40A6F39-8C2D-4A26-FC8B-F57B7CB32FD5}</x14:id>
        </ext>
      </extLst>
    </cfRule>
  </conditionalFormatting>
  <conditionalFormatting sqref="K5:K16">
    <cfRule type="dataBar" priority="2">
      <dataBar>
        <cfvo type="min"/>
        <cfvo type="max"/>
        <color rgb="FFED7D31"/>
      </dataBar>
    </cfRule>
    <cfRule type="dataBar" priority="4">
      <dataBar>
        <cfvo type="min"/>
        <cfvo type="max"/>
        <color rgb="FFED7D31"/>
      </dataBar>
    </cfRule>
    <cfRule type="dataBar" priority="6">
      <dataBar>
        <cfvo type="min"/>
        <cfvo type="max"/>
        <color rgb="FFED7D31"/>
      </dataBar>
      <extLst>
        <ext xmlns:x14="http://schemas.microsoft.com/office/spreadsheetml/2009/9/main" uri="{B025F937-C7B1-47D3-B67F-A62EFF666E3E}">
          <x14:id>{D486A044-B23C-15E0-93F4-143012BA367B}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0A6F39-8C2D-4A26-FC8B-F57B7CB32FD5}">
            <x14:dataBar>
              <x14:cfvo type="min"/>
              <x14:cfvo type="max"/>
              <x14:negativeFillColor auto="1"/>
              <x14:axisColor auto="1"/>
            </x14:dataBar>
          </x14:cfRule>
          <xm:sqref>F5:F16</xm:sqref>
        </x14:conditionalFormatting>
        <x14:conditionalFormatting xmlns:xm="http://schemas.microsoft.com/office/excel/2006/main">
          <x14:cfRule type="dataBar" id="{D486A044-B23C-15E0-93F4-143012BA367B}">
            <x14:dataBar>
              <x14:cfvo type="min"/>
              <x14:cfvo type="max"/>
              <x14:negativeFillColor auto="1"/>
              <x14:axisColor auto="1"/>
            </x14:dataBar>
          </x14:cfRule>
          <xm:sqref>K5:K16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Repository_Index</vt:lpstr>
      <vt:lpstr>Figure_Map</vt:lpstr>
      <vt:lpstr>Code_Environment</vt:lpstr>
      <vt:lpstr>Fig1_Phases</vt:lpstr>
      <vt:lpstr>Fig2a_Models</vt:lpstr>
      <vt:lpstr>Fig2b_Regions</vt:lpstr>
      <vt:lpstr>Fig3a_Compute</vt:lpstr>
      <vt:lpstr>Fig3b_Visits</vt:lpstr>
      <vt:lpstr>Fig4a_Scenarios</vt:lpstr>
      <vt:lpstr>Fig4b_Phases</vt:lpstr>
      <vt:lpstr>Fig4c_Shares</vt:lpstr>
      <vt:lpstr>Fig5_Sensitivity</vt:lpstr>
      <vt:lpstr>Fig5b_Mitigation</vt:lpstr>
      <vt:lpstr>Fig5c_Exacerbation</vt:lpstr>
      <vt:lpstr>Pareto</vt:lpstr>
      <vt:lpstr>LLM_294</vt:lpstr>
      <vt:lpstr>Curve_Fit</vt:lpstr>
      <vt:lpstr>Out_of_Sample</vt:lpstr>
      <vt:lpstr>Norm_Sensitivity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sansh</cp:lastModifiedBy>
  <dcterms:modified xsi:type="dcterms:W3CDTF">2026-09-26T03:35:56Z</dcterms:modified>
</cp:coreProperties>
</file>